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17" codeName="{00000000-0000-0000-0000-000000000000}"/>
  <workbookPr codeName="ThisWorkbook"/>
  <mc:AlternateContent xmlns:mc="http://schemas.openxmlformats.org/markup-compatibility/2006">
    <mc:Choice Requires="x15">
      <x15ac:absPath xmlns:x15ac="http://schemas.microsoft.com/office/spreadsheetml/2010/11/ac" url="https://d.docs.live.net/576722F34089E9F4/"/>
    </mc:Choice>
  </mc:AlternateContent>
  <xr:revisionPtr revIDLastSave="0" documentId="8_{65EE18E4-2602-40E9-9C4E-07041776C33D}" xr6:coauthVersionLast="47" xr6:coauthVersionMax="47" xr10:uidLastSave="{00000000-0000-0000-0000-000000000000}"/>
  <bookViews>
    <workbookView xWindow="-120" yWindow="-120" windowWidth="29040" windowHeight="15720" xr2:uid="{DB1B5587-E20F-4D00-B91E-235791B23D5B}"/>
  </bookViews>
  <sheets>
    <sheet name="Pivot Tables" sheetId="2" r:id="rId1"/>
    <sheet name="Pharmadata" sheetId="1" r:id="rId2"/>
  </sheets>
  <definedNames>
    <definedName name="_xlnm._FilterDatabase" localSheetId="1" hidden="1">Pharmadata!$A$1:$A$74</definedName>
    <definedName name="_xleta.VLOOKUP" hidden="1" xlm="1">#NAME?</definedName>
    <definedName name="Slicer_state">#N/A</definedName>
  </definedNames>
  <calcPr calcId="191028"/>
  <pivotCaches>
    <pivotCache cacheId="296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Q4" i="1" l="1"/>
  <c r="EQ3" i="1"/>
  <c r="EQ2" i="1"/>
  <c r="EP2" i="1"/>
  <c r="EP3" i="1"/>
  <c r="EP4" i="1"/>
  <c r="EP5" i="1"/>
  <c r="EP6" i="1"/>
  <c r="EP7" i="1"/>
  <c r="EP8" i="1"/>
  <c r="EP9" i="1"/>
  <c r="EP10" i="1"/>
  <c r="EP11" i="1"/>
  <c r="EP12" i="1"/>
  <c r="EP13" i="1"/>
  <c r="EP14" i="1"/>
  <c r="EP15" i="1"/>
  <c r="EP16" i="1"/>
  <c r="EP17" i="1"/>
  <c r="EP18" i="1"/>
  <c r="EP19" i="1"/>
  <c r="EP20" i="1"/>
  <c r="EP21" i="1"/>
  <c r="EP22" i="1"/>
  <c r="EP23" i="1"/>
  <c r="EP24" i="1"/>
  <c r="EP25" i="1"/>
  <c r="EP26" i="1"/>
  <c r="EP27" i="1"/>
  <c r="EP28" i="1"/>
  <c r="EP29" i="1"/>
  <c r="EP30" i="1"/>
  <c r="EP31" i="1"/>
  <c r="EP32" i="1"/>
  <c r="EP33" i="1"/>
  <c r="EP34" i="1"/>
  <c r="EP35" i="1"/>
  <c r="EP36" i="1"/>
  <c r="EP37" i="1"/>
  <c r="EP38" i="1"/>
  <c r="EP39" i="1"/>
  <c r="EP40" i="1"/>
  <c r="EP41" i="1"/>
  <c r="EP42" i="1"/>
  <c r="EP43" i="1"/>
  <c r="EP44" i="1"/>
  <c r="EP45" i="1"/>
  <c r="EP46" i="1"/>
  <c r="EP47" i="1"/>
  <c r="EP48" i="1"/>
  <c r="EP49" i="1"/>
  <c r="EP50" i="1"/>
  <c r="EP51" i="1"/>
  <c r="EP52" i="1"/>
  <c r="EP53" i="1"/>
  <c r="EP54" i="1"/>
  <c r="EP55" i="1"/>
  <c r="EP56" i="1"/>
  <c r="EP57" i="1"/>
  <c r="EP58" i="1"/>
  <c r="EP59" i="1"/>
  <c r="EP60" i="1"/>
  <c r="EP61" i="1"/>
  <c r="EP62" i="1"/>
  <c r="EP63" i="1"/>
  <c r="EP64" i="1"/>
  <c r="EP65" i="1"/>
  <c r="EP66" i="1"/>
  <c r="EP67" i="1"/>
  <c r="EP68" i="1"/>
  <c r="EP69" i="1"/>
  <c r="EP70" i="1"/>
  <c r="EP71" i="1"/>
  <c r="EP72" i="1"/>
  <c r="EP73" i="1"/>
  <c r="EP74" i="1"/>
</calcChain>
</file>

<file path=xl/sharedStrings.xml><?xml version="1.0" encoding="utf-8"?>
<sst xmlns="http://schemas.openxmlformats.org/spreadsheetml/2006/main" count="10063" uniqueCount="1611">
  <si>
    <t>Count of openfda/application_number/0</t>
  </si>
  <si>
    <t>Column Labels</t>
  </si>
  <si>
    <t>Row Labels</t>
  </si>
  <si>
    <t>Ongoing</t>
  </si>
  <si>
    <t>Terminated</t>
  </si>
  <si>
    <t>Grand Total</t>
  </si>
  <si>
    <t>Class I</t>
  </si>
  <si>
    <t>Class II</t>
  </si>
  <si>
    <t>Class III</t>
  </si>
  <si>
    <t>Count of product_quantity</t>
  </si>
  <si>
    <t>CA</t>
  </si>
  <si>
    <t>FL</t>
  </si>
  <si>
    <t>IL</t>
  </si>
  <si>
    <t>IN</t>
  </si>
  <si>
    <t>MA</t>
  </si>
  <si>
    <t>MI</t>
  </si>
  <si>
    <t>N/A</t>
  </si>
  <si>
    <t>NC</t>
  </si>
  <si>
    <t>NJ</t>
  </si>
  <si>
    <t>NY</t>
  </si>
  <si>
    <t>OH</t>
  </si>
  <si>
    <t>TN</t>
  </si>
  <si>
    <t>VA</t>
  </si>
  <si>
    <t>(blank)</t>
  </si>
  <si>
    <t>status</t>
  </si>
  <si>
    <t>city</t>
  </si>
  <si>
    <t>state</t>
  </si>
  <si>
    <t>country</t>
  </si>
  <si>
    <t>classification</t>
  </si>
  <si>
    <t>openfda/application_number/0</t>
  </si>
  <si>
    <t>openfda/brand_name/0</t>
  </si>
  <si>
    <t>openfda/generic_name/0</t>
  </si>
  <si>
    <t>openfda/manufacturer_name/0</t>
  </si>
  <si>
    <t>openfda/product_ndc/0</t>
  </si>
  <si>
    <t>openfda/product_type/0</t>
  </si>
  <si>
    <t>openfda/route/0</t>
  </si>
  <si>
    <t>openfda/substance_name/0</t>
  </si>
  <si>
    <t>openfda/rxcui/0</t>
  </si>
  <si>
    <t>openfda/rxcui/1</t>
  </si>
  <si>
    <t>openfda/spl_id/0</t>
  </si>
  <si>
    <t>openfda/spl_set_id/0</t>
  </si>
  <si>
    <t>openfda/package_ndc/0</t>
  </si>
  <si>
    <t>openfda/is_original_packager/0</t>
  </si>
  <si>
    <t>openfda/unii/0</t>
  </si>
  <si>
    <t>openfda/upc/0</t>
  </si>
  <si>
    <t>product_type</t>
  </si>
  <si>
    <t>event_id</t>
  </si>
  <si>
    <t>recalling_firm</t>
  </si>
  <si>
    <t>address_1</t>
  </si>
  <si>
    <t>address_2</t>
  </si>
  <si>
    <t>postal_code</t>
  </si>
  <si>
    <t>voluntary_mandated</t>
  </si>
  <si>
    <t>initial_firm_notification</t>
  </si>
  <si>
    <t>distribution_pattern</t>
  </si>
  <si>
    <t>recall_number</t>
  </si>
  <si>
    <t>product_description</t>
  </si>
  <si>
    <t>product_quantity</t>
  </si>
  <si>
    <t>reason_for_recall</t>
  </si>
  <si>
    <t>recall_initiation_date</t>
  </si>
  <si>
    <t>center_classification_date</t>
  </si>
  <si>
    <t>termination_date</t>
  </si>
  <si>
    <t>report_date</t>
  </si>
  <si>
    <t>code_info</t>
  </si>
  <si>
    <t>more_code_info</t>
  </si>
  <si>
    <t>openfda/product_ndc/1</t>
  </si>
  <si>
    <t>openfda/product_ndc/2</t>
  </si>
  <si>
    <t>openfda/rxcui/2</t>
  </si>
  <si>
    <t>openfda/package_ndc/1</t>
  </si>
  <si>
    <t>openfda/package_ndc/2</t>
  </si>
  <si>
    <t>openfda/package_ndc/3</t>
  </si>
  <si>
    <t>openfda/package_ndc/4</t>
  </si>
  <si>
    <t>openfda/package_ndc/5</t>
  </si>
  <si>
    <t>openfda/package_ndc/6</t>
  </si>
  <si>
    <t>openfda/package_ndc/7</t>
  </si>
  <si>
    <t>openfda/package_ndc/8</t>
  </si>
  <si>
    <t>openfda/package_ndc/9</t>
  </si>
  <si>
    <t>openfda/package_ndc/10</t>
  </si>
  <si>
    <t>openfda/package_ndc/11</t>
  </si>
  <si>
    <t>openfda/route/1</t>
  </si>
  <si>
    <t>openfda/upc/1</t>
  </si>
  <si>
    <t>openfda/upc/2</t>
  </si>
  <si>
    <t>openfda/product_ndc/3</t>
  </si>
  <si>
    <t>openfda/product_ndc/4</t>
  </si>
  <si>
    <t>openfda/package_ndc/12</t>
  </si>
  <si>
    <t>openfda/package_ndc/13</t>
  </si>
  <si>
    <t>openfda/package_ndc/14</t>
  </si>
  <si>
    <t>openfda/package_ndc/15</t>
  </si>
  <si>
    <t>openfda/package_ndc/16</t>
  </si>
  <si>
    <t>openfda/package_ndc/17</t>
  </si>
  <si>
    <t>openfda/package_ndc/18</t>
  </si>
  <si>
    <t>openfda/package_ndc/19</t>
  </si>
  <si>
    <t>openfda/rxcui/3</t>
  </si>
  <si>
    <t>openfda/nui/0</t>
  </si>
  <si>
    <t>openfda/nui/1</t>
  </si>
  <si>
    <t>openfda/pharm_class_cs/0</t>
  </si>
  <si>
    <t>openfda/pharm_class_epc/0</t>
  </si>
  <si>
    <t>openfda/product_ndc/5</t>
  </si>
  <si>
    <t>openfda/product_ndc/6</t>
  </si>
  <si>
    <t>openfda/product_ndc/7</t>
  </si>
  <si>
    <t>openfda/product_ndc/8</t>
  </si>
  <si>
    <t>openfda/product_ndc/9</t>
  </si>
  <si>
    <t>openfda/product_ndc/10</t>
  </si>
  <si>
    <t>openfda/product_ndc/11</t>
  </si>
  <si>
    <t>openfda/rxcui/4</t>
  </si>
  <si>
    <t>openfda/rxcui/5</t>
  </si>
  <si>
    <t>openfda/rxcui/6</t>
  </si>
  <si>
    <t>openfda/rxcui/7</t>
  </si>
  <si>
    <t>openfda/rxcui/8</t>
  </si>
  <si>
    <t>openfda/rxcui/9</t>
  </si>
  <si>
    <t>openfda/rxcui/10</t>
  </si>
  <si>
    <t>openfda/rxcui/11</t>
  </si>
  <si>
    <t>openfda/package_ndc/20</t>
  </si>
  <si>
    <t>openfda/package_ndc/21</t>
  </si>
  <si>
    <t>openfda/package_ndc/22</t>
  </si>
  <si>
    <t>openfda/package_ndc/23</t>
  </si>
  <si>
    <t>openfda/upc/3</t>
  </si>
  <si>
    <t>openfda/upc/4</t>
  </si>
  <si>
    <t>openfda/upc/5</t>
  </si>
  <si>
    <t>openfda/upc/6</t>
  </si>
  <si>
    <t>openfda/upc/7</t>
  </si>
  <si>
    <t>openfda/upc/8</t>
  </si>
  <si>
    <t>openfda/upc/9</t>
  </si>
  <si>
    <t>openfda/upc/10</t>
  </si>
  <si>
    <t>openfda/upc/11</t>
  </si>
  <si>
    <t>openfda/substance_name/1</t>
  </si>
  <si>
    <t>openfda/substance_name/2</t>
  </si>
  <si>
    <t>openfda/nui/2</t>
  </si>
  <si>
    <t>openfda/nui/3</t>
  </si>
  <si>
    <t>openfda/pharm_class_pe/0</t>
  </si>
  <si>
    <t>openfda/pharm_class_pe/1</t>
  </si>
  <si>
    <t>openfda/unii/1</t>
  </si>
  <si>
    <t>openfda/unii/2</t>
  </si>
  <si>
    <t>openfda/original_packager_product_ndc/0</t>
  </si>
  <si>
    <t>openfda/original_packager_product_ndc/1</t>
  </si>
  <si>
    <t>openfda/original_packager_product_ndc/2</t>
  </si>
  <si>
    <t>openfda/package_ndc/24</t>
  </si>
  <si>
    <t>openfda/package_ndc/25</t>
  </si>
  <si>
    <t>openfda/package_ndc/26</t>
  </si>
  <si>
    <t>openfda/package_ndc/27</t>
  </si>
  <si>
    <t>openfda/package_ndc/28</t>
  </si>
  <si>
    <t>openfda/package_ndc/29</t>
  </si>
  <si>
    <t>openfda/package_ndc/30</t>
  </si>
  <si>
    <t>openfda/package_ndc/31</t>
  </si>
  <si>
    <t>openfda/package_ndc/32</t>
  </si>
  <si>
    <t>openfda/package_ndc/33</t>
  </si>
  <si>
    <t>openfda/package_ndc/34</t>
  </si>
  <si>
    <t>openfda/package_ndc/35</t>
  </si>
  <si>
    <t>openfda/package_ndc/36</t>
  </si>
  <si>
    <t>openfda/package_ndc/37</t>
  </si>
  <si>
    <t>openfda/package_ndc/38</t>
  </si>
  <si>
    <t>openfda/package_ndc/39</t>
  </si>
  <si>
    <t>openfda/package_ndc/40</t>
  </si>
  <si>
    <t>openfda/package_ndc/41</t>
  </si>
  <si>
    <t>openfda/package_ndc/42</t>
  </si>
  <si>
    <t>openfda/package_ndc/43</t>
  </si>
  <si>
    <t>openfda/pharm_class_moa/0</t>
  </si>
  <si>
    <t>openfda/rxcui/12</t>
  </si>
  <si>
    <t>openfda/rxcui/13</t>
  </si>
  <si>
    <t>openfda/route/2</t>
  </si>
  <si>
    <t>openfda/original_packager_product_ndc/3</t>
  </si>
  <si>
    <t>openfda/pharm_class_epc/1</t>
  </si>
  <si>
    <t>openfda/pharm_class_moa/1</t>
  </si>
  <si>
    <t>openfda/substance_name/3</t>
  </si>
  <si>
    <t>openfda/unii/3</t>
  </si>
  <si>
    <t>openfda/substance_name/4</t>
  </si>
  <si>
    <t>openfda/unii/4</t>
  </si>
  <si>
    <t>openfda/nui/4</t>
  </si>
  <si>
    <t>openfda/nui/5</t>
  </si>
  <si>
    <t>openfda/pharm_class_epc/2</t>
  </si>
  <si>
    <t>Product Status</t>
  </si>
  <si>
    <t>TEST</t>
  </si>
  <si>
    <t>Whippany</t>
  </si>
  <si>
    <t>United States</t>
  </si>
  <si>
    <t>M005</t>
  </si>
  <si>
    <t>TINACTIN</t>
  </si>
  <si>
    <t>TOLNAFTATE</t>
  </si>
  <si>
    <t>Bayer HealthCare LLC.</t>
  </si>
  <si>
    <t>11523-0777</t>
  </si>
  <si>
    <t>HUMAN OTC DRUG</t>
  </si>
  <si>
    <t>TOPICAL</t>
  </si>
  <si>
    <t>289df0b8-dadb-2f63-e063-6394a90aa6f4</t>
  </si>
  <si>
    <t>00a17e61-0d91-41e0-9cbe-c7c0b3093f3c</t>
  </si>
  <si>
    <t>11523-0777-2</t>
  </si>
  <si>
    <t>06KB629TKV</t>
  </si>
  <si>
    <t>Drugs</t>
  </si>
  <si>
    <t>Bayer Healthcare Pharmaceuticals Inc.</t>
  </si>
  <si>
    <t>100 Bayer Blvd</t>
  </si>
  <si>
    <t>07981-1544</t>
  </si>
  <si>
    <t>Voluntary: Firm initiated</t>
  </si>
  <si>
    <t>Press Release</t>
  </si>
  <si>
    <t>Distributed Nationwide in the US, Puerto Rico, Canada and Mexico through a variety of retail channels.</t>
  </si>
  <si>
    <t>D-0253-2022</t>
  </si>
  <si>
    <t>Tinactin (Tolnaftate 1%) POWDER SPRAY NET WT 133g (4.6 oz) can, labeled as (a) Product of  Ireland 86940418; (b)Product of Finland 20006106; Dist by: Bayer Healthcare LLC, Whippany, NJ 07981, Product of Finland, UPC 3 11017 41009 7, NDC 11523-0777-2.</t>
  </si>
  <si>
    <t>2,841,012 cans</t>
  </si>
  <si>
    <t>Chemical Contamination: presence of benzene</t>
  </si>
  <si>
    <t>Lot # (a)CV015YS, EXP 9/30/2021  (b) TN008CT, TN007TJ, EXP 3/31/2023</t>
  </si>
  <si>
    <t>Unknown</t>
  </si>
  <si>
    <t>Athens</t>
  </si>
  <si>
    <t>Midlab Incorporated</t>
  </si>
  <si>
    <t>140 Private Brand Way</t>
  </si>
  <si>
    <t>37303-1401</t>
  </si>
  <si>
    <t>Letter</t>
  </si>
  <si>
    <t>Nationwide in the USA</t>
  </si>
  <si>
    <t>D-0090-2025</t>
  </si>
  <si>
    <t>ROYALAB Germ Away Antibacterial Hand Soap, Chloroxylenol 0.1%, NET CONTENTS: ONE U.S. GALLON (3.78 L), Royal Papers, 2701 Hereford St., St. Louis, MO 63139</t>
  </si>
  <si>
    <t>cGMP Deviations: Out of specification results for micro in hand soap products.</t>
  </si>
  <si>
    <t>Lot 0711241</t>
  </si>
  <si>
    <t>East Windsor</t>
  </si>
  <si>
    <t>ANDA206125</t>
  </si>
  <si>
    <t>CINACALCET</t>
  </si>
  <si>
    <t>Aurobindo Pharma Limited</t>
  </si>
  <si>
    <t>65862-831</t>
  </si>
  <si>
    <t>HUMAN PRESCRIPTION DRUG</t>
  </si>
  <si>
    <t>ORAL</t>
  </si>
  <si>
    <t>CINACALCET HYDROCHLORIDE</t>
  </si>
  <si>
    <t>5aadf0b6-2c49-48d4-8d22-2fbf99dbf4e6</t>
  </si>
  <si>
    <t>42e99112-c402-4662-877f-9e3a84dff9f2</t>
  </si>
  <si>
    <t>65862-831-30</t>
  </si>
  <si>
    <t>1K860WSG25</t>
  </si>
  <si>
    <t>Aurobindo Pharma USA Inc</t>
  </si>
  <si>
    <t>279 Princeton Hightstown Rd</t>
  </si>
  <si>
    <t>08520-1401</t>
  </si>
  <si>
    <t>USA Nationwide</t>
  </si>
  <si>
    <t>D-0078-2025</t>
  </si>
  <si>
    <t>Cinacalcet Tablets, 60mg, packaged in: a) 30-count HDPE bottle (NDC 65862-832-30), b) 500-count HDPE bottle (NDC 65862-832-05), Rx Only, Distributed by: Aurobindo Pharma USA, Inc. 279 Princeton-Hightstown Road, East Windsor, NJ 08520, Made in India.</t>
  </si>
  <si>
    <t>3336 bottles</t>
  </si>
  <si>
    <t>cGMP Deviations: Presence of N-nitroso Cinacalcet impurity above FDA recommended interim limit</t>
  </si>
  <si>
    <t>Lot #: a) CFSB23001A, Exp 03/31/2025, CFSB23002A, Exp 07/31/2025; CFSB23003A, Exp 10/31/2025; CFSB23004A, Exp 10/31/2025; b) P2300196, 12/31/2024</t>
  </si>
  <si>
    <t>65862-832</t>
  </si>
  <si>
    <t>65862-833</t>
  </si>
  <si>
    <t>65862-831-90</t>
  </si>
  <si>
    <t>65862-831-01</t>
  </si>
  <si>
    <t>65862-831-05</t>
  </si>
  <si>
    <t>65862-832-30</t>
  </si>
  <si>
    <t>65862-832-90</t>
  </si>
  <si>
    <t>65862-832-01</t>
  </si>
  <si>
    <t>65862-832-05</t>
  </si>
  <si>
    <t>65862-833-30</t>
  </si>
  <si>
    <t>65862-833-90</t>
  </si>
  <si>
    <t>65862-833-01</t>
  </si>
  <si>
    <t>65862-833-05</t>
  </si>
  <si>
    <t>Lake Forest</t>
  </si>
  <si>
    <t>ANDA077548</t>
  </si>
  <si>
    <t>ONDANSETRON</t>
  </si>
  <si>
    <t>Hospira, Inc.</t>
  </si>
  <si>
    <t>0409-4755</t>
  </si>
  <si>
    <t>INTRAMUSCULAR</t>
  </si>
  <si>
    <t>ONDANSETRON HYDROCHLORIDE</t>
  </si>
  <si>
    <t>4f088755-91df-4db6-bad7-496cd0fb778a</t>
  </si>
  <si>
    <t>6a11f61b-2318-4382-2b91-4366e4bb53fa</t>
  </si>
  <si>
    <t>0409-4755-18</t>
  </si>
  <si>
    <t>NMH84OZK2B</t>
  </si>
  <si>
    <t>600 N Field Dr Bldg J45</t>
  </si>
  <si>
    <t>Nationwide</t>
  </si>
  <si>
    <t>D-851-2013</t>
  </si>
  <si>
    <t>Ondansetron Injection, USP, 4mg/2mL, (2mg/ml), 2mL single-dose Fliptop Vial, Rx only, Sterile, NDC 0409-4755-03, Hospira, Inc, Lake Forest, IL 60045.</t>
  </si>
  <si>
    <t>340,600 vials</t>
  </si>
  <si>
    <t>Presence of Particulate; lot being recalled as a precaution due to the discovery of 2 particles found in a lot which preceded the recalled lot</t>
  </si>
  <si>
    <t>Lot 25394DK, exp. 01/2015</t>
  </si>
  <si>
    <t>0409-4759</t>
  </si>
  <si>
    <t>0409-4755-03</t>
  </si>
  <si>
    <t>0409-4759-01</t>
  </si>
  <si>
    <t>INTRAVENOUS</t>
  </si>
  <si>
    <t>11523-4162</t>
  </si>
  <si>
    <t>289f4a63-0291-b92a-e063-6394a90a6625</t>
  </si>
  <si>
    <t>5f95be36-6efa-4dfb-9a40-88f4ce1de2b3</t>
  </si>
  <si>
    <t>11523-4162-1</t>
  </si>
  <si>
    <t>D-0242-2022</t>
  </si>
  <si>
    <t>Tinactin (Tolnaftate 1%) DEODORANT POWDER SPRAY NET WT 133g (4.6 OZ) can, labeled as (a) UPC 3 11017-410-00 4, NDC 11523-4162-1, Product of Finland 86568411; (b) UPC 3 11017 41000 4, NDC 11523-4162-1, Product of Finland 20006105; Dist by: Bayer Healthcare LLC, Whippany, NJ 07981</t>
  </si>
  <si>
    <t>738,432 cans</t>
  </si>
  <si>
    <t>cGMP Deviations: manufactured at the same facility where other lots were found to be contaminated with benzene.</t>
  </si>
  <si>
    <t>Lot # (a) TN004BW, EXP 7/31/2022,   (b) TN00678, EXP 8/31/2022; TN00679, EXP 9/30/2022;</t>
  </si>
  <si>
    <t>11017-410-00</t>
  </si>
  <si>
    <t>Mahwah</t>
  </si>
  <si>
    <t>ANDA212317</t>
  </si>
  <si>
    <t>DILTIAZEM HYDROCHLORIDE</t>
  </si>
  <si>
    <t>GLENMARK PHARMACEUTICALS INC., USA</t>
  </si>
  <si>
    <t>68462-562</t>
  </si>
  <si>
    <t>52b392c0-72cb-4a91-8d27-5cacdb8a7778</t>
  </si>
  <si>
    <t>fb1606ea-1cff-46fd-b8e5-8135da76436c</t>
  </si>
  <si>
    <t>68462-850-01</t>
  </si>
  <si>
    <t>OLH94387TE</t>
  </si>
  <si>
    <t>Glenmark Pharmaceuticals Inc., USA</t>
  </si>
  <si>
    <t>750 Corporate Dr</t>
  </si>
  <si>
    <t>07430-2009</t>
  </si>
  <si>
    <t>D-0095-2025</t>
  </si>
  <si>
    <t>Diltiazem Hydrochloride Extended-Release Capsules, USP 120 mg, Rx Only, 100 Capsules, Manufactured for: Glenmark Pharmaceuticals Inc., USA, Mahwah, NJ 07430, Product of India, NDC 68462-562-01.</t>
  </si>
  <si>
    <t>25584 bottles</t>
  </si>
  <si>
    <t>cGMP Deviations: Presence of N-nitroso-Desmethyl-Diltiazem impurity above FDA recommended interim limit.</t>
  </si>
  <si>
    <t>Lot #: 17222470, 17230680, 17222547, Exp. Date 11/30/2024; 17230304, Exp. Date, 12/31/2024; 17230598, Exp. Date, 02/2025.</t>
  </si>
  <si>
    <t>68462-850</t>
  </si>
  <si>
    <t>68462-851</t>
  </si>
  <si>
    <t>68462-851-01</t>
  </si>
  <si>
    <t>68462-562-01</t>
  </si>
  <si>
    <t>Zebulon</t>
  </si>
  <si>
    <t>M001</t>
  </si>
  <si>
    <t>TUMS</t>
  </si>
  <si>
    <t>CALCIUM CARBONATE</t>
  </si>
  <si>
    <t>Haleon US Holdings LLC</t>
  </si>
  <si>
    <t>0135-0118</t>
  </si>
  <si>
    <t>5588a55e-0349-469e-9fee-1cc0c9429966</t>
  </si>
  <si>
    <t>f4786707-a0f7-4ba8-9656-06278d1b4b6c</t>
  </si>
  <si>
    <t>0135-0118-01</t>
  </si>
  <si>
    <t>H0G9379FGK</t>
  </si>
  <si>
    <t>GlaxoSmithKline, LLC.</t>
  </si>
  <si>
    <t>1011 North Arendell Ave</t>
  </si>
  <si>
    <t>27597-1217</t>
  </si>
  <si>
    <t>U.S. Nationwide</t>
  </si>
  <si>
    <t>D-850-2013</t>
  </si>
  <si>
    <t>TUMS, Antacid/Calcium Supplement, ULTRA Strength 1000, Assorted Berries, 72 Chewable Tablets, GlaxoSmithKline, Moon Twp, PA 15108,  NDC 0135-0181-02</t>
  </si>
  <si>
    <t>300,480 bottles</t>
  </si>
  <si>
    <t>Presence of Foreign Tablets/Capsules: Product labeled TUMS Ultra Assorted Berries 1000mg Chewable tables, may contain EX TUMS Assorted Berries 750mg tablets</t>
  </si>
  <si>
    <t>Lot 3C11 and 3C11A</t>
  </si>
  <si>
    <t>0135-0180</t>
  </si>
  <si>
    <t>0135-0181</t>
  </si>
  <si>
    <t>0135-0118-04</t>
  </si>
  <si>
    <t>0135-0118-14</t>
  </si>
  <si>
    <t>0135-0118-83</t>
  </si>
  <si>
    <t>0135-0180-01</t>
  </si>
  <si>
    <t>0135-0180-02</t>
  </si>
  <si>
    <t>0135-0180-14</t>
  </si>
  <si>
    <t>0135-0181-01</t>
  </si>
  <si>
    <t>0135-0181-02</t>
  </si>
  <si>
    <t>0135-0181-03</t>
  </si>
  <si>
    <t>0135-0181-05</t>
  </si>
  <si>
    <t>0135-0181-06</t>
  </si>
  <si>
    <t>0135-0228</t>
  </si>
  <si>
    <t>0135-0540</t>
  </si>
  <si>
    <t>0135-0181-07</t>
  </si>
  <si>
    <t>0135-0181-14</t>
  </si>
  <si>
    <t>0135-0228-01</t>
  </si>
  <si>
    <t>0135-0228-04</t>
  </si>
  <si>
    <t>0135-0228-05</t>
  </si>
  <si>
    <t>0135-0228-06</t>
  </si>
  <si>
    <t>0135-0228-07</t>
  </si>
  <si>
    <t>0135-0540-01</t>
  </si>
  <si>
    <t>LOTRIMIN DAILY PREVENTION DEO</t>
  </si>
  <si>
    <t>11523-0010</t>
  </si>
  <si>
    <t>289dbd00-e2f2-0998-e063-6394a90ae1a4</t>
  </si>
  <si>
    <t>9e8bfb78-ad81-93d0-e053-2995a90aa41d</t>
  </si>
  <si>
    <t>11523-0010-1</t>
  </si>
  <si>
    <t>D-0240-2022</t>
  </si>
  <si>
    <t>LOTRIMIN AF (Tolnaftate 1%) DAILY PREVENTION deodorant powder spray, NET WT 160g (5.6 OZ) can, packaged as (a) single pack, UPC 0 41100 58720 6, NDC 11523-0010-2; (b) 3-pack, UPC 0 41100 58961 3; Dist by: Bayer Healthcare LLC, Whippany, NJ 07981, Product of Finland,</t>
  </si>
  <si>
    <t>579,456 cans</t>
  </si>
  <si>
    <t>Lot # (a)TN0023C, EXP 1/31/2022; TN003C7, EXP 4/30/2022; TN00570, EXP 7/31/2022; TN0056Z, TN005KJ, EXP 8/31/2022;  (b)TN0023C, EXP 01/31/2022; TN003C7, EXP 04/30/2022; TN0023DV, TN0023DAV, TN0023DBV, TN0023DC, EXP 02/28/2022; TN005KJ, TN005KJA, TN005KJB, EXP 08/31/2022;</t>
  </si>
  <si>
    <t>11523-0010-2</t>
  </si>
  <si>
    <t>Northstar Rx LLC</t>
  </si>
  <si>
    <t>16714-553</t>
  </si>
  <si>
    <t>a11626b3-d7a9-43b0-85d4-38a582acd661</t>
  </si>
  <si>
    <t>e2511ffe-5821-4f64-a469-f8ef9618b1b5</t>
  </si>
  <si>
    <t>16714-553-01</t>
  </si>
  <si>
    <t>D-0098-2025</t>
  </si>
  <si>
    <t>Diltiazem Hydrochloride Extended-Release Capsules, USP 120mg, Twice-a-Day Dosage, Rx Only, 100 Capsules per bottle, Mfd for: Northstar Rx LLC, Memphis, TN, Mfd by: Glenmark Pharmaceuticals Limited, Pithampur, Madhya Pradesh India, NDC 16714-555-01.</t>
  </si>
  <si>
    <t>7296 bottles</t>
  </si>
  <si>
    <t>Lot #:17222547, Exp. Date, 11/30/2024; 17230598, Exp. Date 02/28/2025</t>
  </si>
  <si>
    <t>16714-554</t>
  </si>
  <si>
    <t>16714-555</t>
  </si>
  <si>
    <t>16714-554-01</t>
  </si>
  <si>
    <t>16714-555-01</t>
  </si>
  <si>
    <t>Shirley</t>
  </si>
  <si>
    <t>NDA021135</t>
  </si>
  <si>
    <t>VENOFER</t>
  </si>
  <si>
    <t>IRON SUCROSE</t>
  </si>
  <si>
    <t>Fresenius Medical Care Holdings, Inc.</t>
  </si>
  <si>
    <t>49230-530</t>
  </si>
  <si>
    <t>d169adb0-d1dc-4c19-99b4-f1dce90db380</t>
  </si>
  <si>
    <t>f1ab1a22-2b99-4d27-8b5a-9c3bcd5e3040</t>
  </si>
  <si>
    <t>49230-530-01</t>
  </si>
  <si>
    <t>FZ7NYF5N8L</t>
  </si>
  <si>
    <t>American Regent, Inc.</t>
  </si>
  <si>
    <t>5 Ramsey Rd</t>
  </si>
  <si>
    <t>11967-4701</t>
  </si>
  <si>
    <t>D-0081-2025</t>
  </si>
  <si>
    <t>Venofer (iron sucrose) Injection, USP 50 mg Elemental Iron per 2.5 mL (20 mg/mL), 2.5 mL Single-Dose Vials, Rx Only, For Intravenous Use Only, Distributed by: Fresenius Medical Care NA, Waltham, MA 02451, NDC: 49230-530-01 (vial), NDC: 49230-530-10 (10 x 2.5mL/vial cartons), NDC: 49230-530-25 (25 x 2.5mL/vial cartons).</t>
  </si>
  <si>
    <t>Presence of Particulate Matter: Potential for glass delamination from the vials.</t>
  </si>
  <si>
    <t>Lot #s: 4206, 4210, Exp 05/31/2026; 4223, Exp 06/30/2026; 24231, 24237, Exp 07/31/2026.</t>
  </si>
  <si>
    <t>49230-534</t>
  </si>
  <si>
    <t>49230-530-10</t>
  </si>
  <si>
    <t>49230-530-25</t>
  </si>
  <si>
    <t>49230-534-01</t>
  </si>
  <si>
    <t>49230-534-10</t>
  </si>
  <si>
    <t>49230-534-25</t>
  </si>
  <si>
    <t>M0011718</t>
  </si>
  <si>
    <t>N0000177913</t>
  </si>
  <si>
    <t>Iron [CS]</t>
  </si>
  <si>
    <t>Parenteral Iron Replacement [EPC]</t>
  </si>
  <si>
    <t>Raleigh</t>
  </si>
  <si>
    <t>ANDA212399</t>
  </si>
  <si>
    <t>LEVOTHYROXINE SODIUM</t>
  </si>
  <si>
    <t>Accord Healthcare Inc.</t>
  </si>
  <si>
    <t>16729-447</t>
  </si>
  <si>
    <t>26408e81-f136-15ca-e063-6394a90a6fb6</t>
  </si>
  <si>
    <t>a6233381-3043-4e9a-aaa6-a6b105e5142b</t>
  </si>
  <si>
    <t>16729-458-15</t>
  </si>
  <si>
    <t>9J765S329G</t>
  </si>
  <si>
    <t>ACCORD HEALTHCARE, INC.</t>
  </si>
  <si>
    <t>8041 Arco Corporate Dr Ste 200</t>
  </si>
  <si>
    <t>27617-2010</t>
  </si>
  <si>
    <t>D-0076-2025</t>
  </si>
  <si>
    <t>Levothyroxine Sodium Tablets, USP, 75 mcg (0.075 mg), 1000-count bottle, Rx Only, Manufactured for: Accord Healthcare, Inc., Durham, NC 27703, Manufactured by: Intas Pharmaceuticals Limited, Camp Road, Selaqui, Dehradun-248 197, INDIA, NDC 16729-449-17</t>
  </si>
  <si>
    <t>Subpotent drug</t>
  </si>
  <si>
    <t>Lot #: D2300191, Exp 12/31/2025</t>
  </si>
  <si>
    <t>16729-458</t>
  </si>
  <si>
    <t>16729-448</t>
  </si>
  <si>
    <t>16729-458-17</t>
  </si>
  <si>
    <t>16729-447-15</t>
  </si>
  <si>
    <t>16729-447-17</t>
  </si>
  <si>
    <t>16729-448-15</t>
  </si>
  <si>
    <t>16729-448-17</t>
  </si>
  <si>
    <t>16729-449-15</t>
  </si>
  <si>
    <t>16729-449-17</t>
  </si>
  <si>
    <t>16729-451-15</t>
  </si>
  <si>
    <t>16729-451-17</t>
  </si>
  <si>
    <t>16729-450-15</t>
  </si>
  <si>
    <t>16729-450-17</t>
  </si>
  <si>
    <t>16729-449</t>
  </si>
  <si>
    <t>16729-451</t>
  </si>
  <si>
    <t>16729-452-15</t>
  </si>
  <si>
    <t>16729-452-17</t>
  </si>
  <si>
    <t>16729-453-15</t>
  </si>
  <si>
    <t>16729-453-17</t>
  </si>
  <si>
    <t>16729-454-15</t>
  </si>
  <si>
    <t>16729-454-17</t>
  </si>
  <si>
    <t>16729-455-15</t>
  </si>
  <si>
    <t>16729-455-17</t>
  </si>
  <si>
    <t>16729-450</t>
  </si>
  <si>
    <t>16729-452</t>
  </si>
  <si>
    <t>16729-453</t>
  </si>
  <si>
    <t>16729-454</t>
  </si>
  <si>
    <t>16729-455</t>
  </si>
  <si>
    <t>16729-456</t>
  </si>
  <si>
    <t>16729-457</t>
  </si>
  <si>
    <t>16729-456-15</t>
  </si>
  <si>
    <t>16729-456-17</t>
  </si>
  <si>
    <t>16729-457-15</t>
  </si>
  <si>
    <t>16729-457-17</t>
  </si>
  <si>
    <t>Columbus</t>
  </si>
  <si>
    <t>ANDA090778</t>
  </si>
  <si>
    <t>DULOXETINE</t>
  </si>
  <si>
    <t>DULOXETINE HYDROCHLORIDE</t>
  </si>
  <si>
    <t>BluePoint</t>
  </si>
  <si>
    <t>68001-413</t>
  </si>
  <si>
    <t>1a275613-8b5c-f2f7-e063-6294a90ac153</t>
  </si>
  <si>
    <t>c9492555-6061-47bf-923e-26d4d5528453</t>
  </si>
  <si>
    <t>68001-413-06</t>
  </si>
  <si>
    <t>9044SC542W</t>
  </si>
  <si>
    <t>Amerisource Health Services LLC</t>
  </si>
  <si>
    <t>2550 John Glenn Ave Ste A</t>
  </si>
  <si>
    <t>43217-1188</t>
  </si>
  <si>
    <t>PA, OH, PR</t>
  </si>
  <si>
    <t>D-0100-2025</t>
  </si>
  <si>
    <t>Duloxetine Delayed-Release Capsules, USP, 30 mg, Rx only, a) 30 count (NDC 68001-414-04) and b) 1,000 count (NDC 68001-414-08) bottles, Manufactured by: Aurobindo Pharma Limited, Hyderabad-500 090, India, For BluePoint Laboratories</t>
  </si>
  <si>
    <t>23,490 bottles</t>
  </si>
  <si>
    <t>CGMP Deviations: Presence of N-nitroso-duloxetine impurity above the recommended interim limit</t>
  </si>
  <si>
    <t>a) 30 count; Lot, expiry: DT3023019B, DT3023020A, exp 01/31/2025 b) 1000 count; Lot, expiry: DTB23098A, exp 08/31/2025</t>
  </si>
  <si>
    <t>68001-414</t>
  </si>
  <si>
    <t>68001-415</t>
  </si>
  <si>
    <t>68001-414-04</t>
  </si>
  <si>
    <t>68001-414-05</t>
  </si>
  <si>
    <t>68001-414-08</t>
  </si>
  <si>
    <t>68001-415-04</t>
  </si>
  <si>
    <t>68001-415-05</t>
  </si>
  <si>
    <t>68001-415-08</t>
  </si>
  <si>
    <t>Pennsauken</t>
  </si>
  <si>
    <t>CETACAINE ANESTHETIC</t>
  </si>
  <si>
    <t>BENZOCAINE, BUTAMBEN, AND TETRACAINE HYDROCHLORIDE</t>
  </si>
  <si>
    <t>Cetylite Industries, Inc.</t>
  </si>
  <si>
    <t>10223-0202</t>
  </si>
  <si>
    <t>BENZOCAINE</t>
  </si>
  <si>
    <t>019d3010-af34-465c-b6b0-f89b5eaec099</t>
  </si>
  <si>
    <t>89f262a4-a41b-41d7-806b-61b9b89542f0</t>
  </si>
  <si>
    <t>10223-0202-2</t>
  </si>
  <si>
    <t>5NF5D4OPCI</t>
  </si>
  <si>
    <t>9051 River Road</t>
  </si>
  <si>
    <t>08110-3203</t>
  </si>
  <si>
    <t>D-019-2014</t>
  </si>
  <si>
    <t>Cetacaine Liquid Topical Anesthetic,  Rx Only, a) 14 g bottle (NDC 10223-0202-2); Kit w/14 g (NDC 10223-0202-3); 30 g bottle (NDC 10223-0202-4) Manufactured by Cetylite Industries, Inc., 9051 River Road Pennsauken, NJ 08110       -</t>
  </si>
  <si>
    <t>30 g - 11403 units; 14 g  - 7338 units 14 g kit - 200 units</t>
  </si>
  <si>
    <t>Subpotent Drug: Cetacaine Topical Anesthetic Liquid is being recalled because one of the three active ingredients, tetracaine, is below the specification limit  at the 21 month stability test point.</t>
  </si>
  <si>
    <t>Lot 470  exp.  04/13, 471 exp. 06/13, 472 exp.  10/13</t>
  </si>
  <si>
    <t>10223-0225</t>
  </si>
  <si>
    <t>10223-0226</t>
  </si>
  <si>
    <t>10223-0202-4</t>
  </si>
  <si>
    <t>10223-0202-5</t>
  </si>
  <si>
    <t>10223-0202-6</t>
  </si>
  <si>
    <t>10223-0202-7</t>
  </si>
  <si>
    <t>10223-0202-8</t>
  </si>
  <si>
    <t>10223-0225-1</t>
  </si>
  <si>
    <t>10223-0226-1</t>
  </si>
  <si>
    <t>10223-0202-3</t>
  </si>
  <si>
    <t>N0000185508</t>
  </si>
  <si>
    <t>N0000175629</t>
  </si>
  <si>
    <t>Allergens [CS]</t>
  </si>
  <si>
    <t>Standardized Chemical Allergen [EPC]</t>
  </si>
  <si>
    <t>BUTAMBEN</t>
  </si>
  <si>
    <t>TETRACAINE HYDROCHLORIDE</t>
  </si>
  <si>
    <t>N0000184306</t>
  </si>
  <si>
    <t>M0000728</t>
  </si>
  <si>
    <t>Increased Histamine Release [PE]</t>
  </si>
  <si>
    <t>Cell-mediated Immunity [PE]</t>
  </si>
  <si>
    <t>EFW857872Q</t>
  </si>
  <si>
    <t>U3RSY48JW5</t>
  </si>
  <si>
    <t>LOTRIMIN</t>
  </si>
  <si>
    <t>MICONAZOLE NITRATE</t>
  </si>
  <si>
    <t>Bayer Healthcare LLC.</t>
  </si>
  <si>
    <t>11523-0544</t>
  </si>
  <si>
    <t>289dd4d1-bed5-42a7-e063-6394a90ace68</t>
  </si>
  <si>
    <t>3650ee3d-b285-46b9-a80b-e868f22053aa</t>
  </si>
  <si>
    <t>11523-0544-2</t>
  </si>
  <si>
    <t>VW4H1CYW1K</t>
  </si>
  <si>
    <t>D-0238-2022</t>
  </si>
  <si>
    <t>LOTRIMIN AF (Miconazole nitrate 2%) Powder Spray NET WT 133g (4.6 OZ) can, packaged as (a) a single pack NDC 11523-0544-2 UPC 3 11017 41025 7; (b) 3 pack, NDC 11523-0544-2, UPC 0 41100 58594 3; Dist by: Bayer Healthcare LLC, Whippany, NJ 07981, Product of Spain,       ,</t>
  </si>
  <si>
    <t>3,816,468 cans</t>
  </si>
  <si>
    <t>Lot # (a) CV017D9, EXP 10/31/2021; CV01940, EXP 11/30/2021; CV01CD9, EXP 4/30/2022; CV01D9T, CV01DZ3, EXP 6/30/2022; CV01EPP, EXP 7/31/2022; TN000TT, EXP 10/31/2022; TN003CG, EXP 1/31/2023; TN003CH, TN00407, EXP 3/31/2023; TN0041V, EXP 6/30/2023; TN0056W, EXP 7/31/2022; TN005P4, EXP 8/31/2022; TN006MJ, EXP 9/30/2022;   (b) CV01940, CV01940A, EXP 11/30/2021; CV01AP2, EXP 02/28/2022; CV01D9T, CV01D9TA, CV01DZ3, EXP 06/30/2022; CV01EPP, EXP 07/31/2022; TN005P4, EXP 08/31/2022; TN000TT,  TN000TTA, EXP 10/31/2022; TN003CG, EXP 01/31/2023; TN003CH, TN003CHA,   TN00407, TN006TD, TN006TDB, TN00407A, EXP 03/31/2023; TN0041V, EXP 06/30/2023</t>
  </si>
  <si>
    <t>Pulaski</t>
  </si>
  <si>
    <t>AvKARE</t>
  </si>
  <si>
    <t>42291-459</t>
  </si>
  <si>
    <t>0e8fd624-fbe3-c134-e063-6294a90a01e2</t>
  </si>
  <si>
    <t>c81dce3a-8f66-4a99-e053-2a95a90a9a10</t>
  </si>
  <si>
    <t>42291-459-30</t>
  </si>
  <si>
    <t>615 N 1st St</t>
  </si>
  <si>
    <t>38478-2403</t>
  </si>
  <si>
    <t>D-0109-2025</t>
  </si>
  <si>
    <t>Cinacalcet Tablets, 60 mg, 30-count bottle, Rx only, Manufactured for: AvKARE, Pulaski, TN 38478, NDC 42291-460-30</t>
  </si>
  <si>
    <t>2,396 bottles</t>
  </si>
  <si>
    <t>CGMP deviations: Presence of Nitrosamine Drug Substance Related Impurity (NDSRI), N-Nitroso-Cinacalcet above acceptable intake limit.</t>
  </si>
  <si>
    <t>Lot # 44550, Exp 12/31/2024</t>
  </si>
  <si>
    <t>42291-460</t>
  </si>
  <si>
    <t>42291-461</t>
  </si>
  <si>
    <t>42291-460-30</t>
  </si>
  <si>
    <t>42291-461-30</t>
  </si>
  <si>
    <t>D-0080-2025</t>
  </si>
  <si>
    <t>Venofer (iron sucrose) Injection, USP 100 mg Elemental Iron per 5 mL (20 mg/mL), 5 mL Single-Dose Vials, Rx Only, For Intravenous Use Only, Distributed by: Fresenius Medical Care NA, Waltham, MA 02451, NDC: 49230-534-01 (vial), NDC: 49230-534-25 (25 x 5 mL/vial cartons).</t>
  </si>
  <si>
    <t>Lot#s: 4196, Exp 05/31/2026</t>
  </si>
  <si>
    <t>ANDA077908</t>
  </si>
  <si>
    <t>PROPOFOL</t>
  </si>
  <si>
    <t>0409-4699</t>
  </si>
  <si>
    <t>4fe7d279-304e-4d41-b374-9263fbde9998</t>
  </si>
  <si>
    <t>28d7ba00-f824-4e55-139a-03f509c099db</t>
  </si>
  <si>
    <t>0409-4699-50</t>
  </si>
  <si>
    <t>YI7VU623SF</t>
  </si>
  <si>
    <t>Hospira Inc.</t>
  </si>
  <si>
    <t>275 N Field Dr</t>
  </si>
  <si>
    <t>60045-2579</t>
  </si>
  <si>
    <t>Telephone</t>
  </si>
  <si>
    <t>Distribution limited to one shipment to The Harvard Drug Group, Livonia, MI for the lots of Vancomycin 500 mg, Ketorolac tromethamine 60 mg/2 mL (30 mg/mL), and Propofol 1% 200 mg/20 mL (10 mg/mL), these lots remained within the control of the distributor and were not further distributed. Distribution was Nationwide for the Vancomycin 1 g product.</t>
  </si>
  <si>
    <t>D-0389-2015</t>
  </si>
  <si>
    <t>Propofol Injectable Emulsion, 1%, 200 mg/20 mL (10 mg/mL), 20 mL Single patient infusion vials, packaged in 5 Units per carton, Rx only, Hospira, Inc., Lake Forest, IL  60045, NDC 0409-4699-30.</t>
  </si>
  <si>
    <t>2,500 vials</t>
  </si>
  <si>
    <t>Temperature Abuse: Products experienced uncontrolled temperature excursions during transit.</t>
  </si>
  <si>
    <t>One shipment of Lot #: 33-750-DJ; Exp 1SEP2015 to The Harvard Drug Group, Livonia, MI</t>
  </si>
  <si>
    <t>0409-6010</t>
  </si>
  <si>
    <t>0409-4699-30</t>
  </si>
  <si>
    <t>0409-4699-53</t>
  </si>
  <si>
    <t>0409-4699-33</t>
  </si>
  <si>
    <t>0409-4699-54</t>
  </si>
  <si>
    <t>0409-4699-24</t>
  </si>
  <si>
    <t>0409-6010-02</t>
  </si>
  <si>
    <t>0409-6010-25</t>
  </si>
  <si>
    <t>N0000175975</t>
  </si>
  <si>
    <t>N0000175681</t>
  </si>
  <si>
    <t>General Anesthetic [EPC]</t>
  </si>
  <si>
    <t>General Anesthesia [PE]</t>
  </si>
  <si>
    <t>D-0245-2022</t>
  </si>
  <si>
    <t>Tinactin (Tolnaftate 1%) POWDER SPRAY NET WT 133g (4.6 oz) can, Labeled as (a) Product of  Ireland 86940418, (b)Product of Finland 20006106, (c) Product of Ireland with Instant redeemable coupon ( IRC); Dist by: Bayer Healthcare LLC, Whippany, NJ 07981, Product of Finland, UPC 3 11017 41009 7, NDC 11523-0777-2.</t>
  </si>
  <si>
    <t>Lot # (a) CV015YT, EXP 10/31/2021; CV01AE7, EXP 2/28/2022; CV01CY2, EXP 4/30/2022'; CV01E6P, EXP 8/31/2022; TN00085, TN001EK, EXP 10/31/2022; TN001ZV, TN00274, EXP 12/31/2022; TN003CU, EXP 1/31/2023; TN003CV, EXP 3/31/2023; TN0047H, EXP 4/30/2023; TN0047R, EXP 5/31/2023;  (b)TN0067B, EXP 9/30/2022; TN006AT, EXP 12/31/2022; TN006TA, EXP 2/28/2023;  (c) CV01E6PV, CV01E6PD, CV01E6PC, CV01E6PBV, CV01E6PAV, EXP 8/31/2022</t>
  </si>
  <si>
    <t>Princeton</t>
  </si>
  <si>
    <t>ANDA203874</t>
  </si>
  <si>
    <t>AMLODIPINE BESYLATE AND ATORVASTATIN CALCIUM</t>
  </si>
  <si>
    <t>Dr. Reddy's Laboratories Inc</t>
  </si>
  <si>
    <t>43598-313</t>
  </si>
  <si>
    <t>AMLODIPINE BESYLATE</t>
  </si>
  <si>
    <t>54058ac6-94e2-d2d3-5c46-886b3478fc76</t>
  </si>
  <si>
    <t>abee4a34-89cc-d886-192c-32582ab8f024</t>
  </si>
  <si>
    <t>43598-323-30</t>
  </si>
  <si>
    <t>48A5M73Z4Q</t>
  </si>
  <si>
    <t>Dr. Reddy's Laboratories, Inc.</t>
  </si>
  <si>
    <t>107 College Rd E</t>
  </si>
  <si>
    <t>08540-6623</t>
  </si>
  <si>
    <t>D-1143-2015</t>
  </si>
  <si>
    <t>Amlodipine besylate and Atorvastatin calcium tablets, 5mg/10mg, packaged in a)30-count bottle (NDC 43598-322-30), b) 90-count bottle (NDC 43598-322-90), Rx Only, Manufactured by Dr. Reddy's Laboratories Limited Bachupally, 500 090 India</t>
  </si>
  <si>
    <t>Lot #: a) C401536, Exp 07/2015; b) C401538, Exp 07/2015</t>
  </si>
  <si>
    <t>43598-323</t>
  </si>
  <si>
    <t>43598-320</t>
  </si>
  <si>
    <t>43598-323-60</t>
  </si>
  <si>
    <t>43598-323-90</t>
  </si>
  <si>
    <t>43598-323-05</t>
  </si>
  <si>
    <t>43598-320-30</t>
  </si>
  <si>
    <t>43598-320-60</t>
  </si>
  <si>
    <t>43598-320-90</t>
  </si>
  <si>
    <t>43598-320-05</t>
  </si>
  <si>
    <t>43598-317-30</t>
  </si>
  <si>
    <t>43598-317-60</t>
  </si>
  <si>
    <t>43598-317-90</t>
  </si>
  <si>
    <t>43598-317-05</t>
  </si>
  <si>
    <t>43598-317</t>
  </si>
  <si>
    <t>43598-322</t>
  </si>
  <si>
    <t>43598-322-30</t>
  </si>
  <si>
    <t>43598-322-60</t>
  </si>
  <si>
    <t>43598-322-90</t>
  </si>
  <si>
    <t>43598-322-05</t>
  </si>
  <si>
    <t>43598-319-30</t>
  </si>
  <si>
    <t>43598-319-60</t>
  </si>
  <si>
    <t>43598-319-90</t>
  </si>
  <si>
    <t>43598-319-05</t>
  </si>
  <si>
    <t>43598-319</t>
  </si>
  <si>
    <t>43598-316</t>
  </si>
  <si>
    <t>43598-314</t>
  </si>
  <si>
    <t>43598-321</t>
  </si>
  <si>
    <t>43598-318</t>
  </si>
  <si>
    <t>43598-315</t>
  </si>
  <si>
    <t>43598-316-30</t>
  </si>
  <si>
    <t>43598-316-60</t>
  </si>
  <si>
    <t>43598-316-90</t>
  </si>
  <si>
    <t>43598-316-05</t>
  </si>
  <si>
    <t>ATORVASTATIN CALCIUM TRIHYDRATE</t>
  </si>
  <si>
    <t>864V2Q084H</t>
  </si>
  <si>
    <t>43598-314-30</t>
  </si>
  <si>
    <t>43598-314-60</t>
  </si>
  <si>
    <t>43598-314-90</t>
  </si>
  <si>
    <t>43598-314-05</t>
  </si>
  <si>
    <t>43598-321-30</t>
  </si>
  <si>
    <t>43598-321-60</t>
  </si>
  <si>
    <t>43598-321-90</t>
  </si>
  <si>
    <t>43598-321-05</t>
  </si>
  <si>
    <t>43598-318-30</t>
  </si>
  <si>
    <t>43598-318-60</t>
  </si>
  <si>
    <t>43598-318-90</t>
  </si>
  <si>
    <t>43598-318-05</t>
  </si>
  <si>
    <t>43598-315-30</t>
  </si>
  <si>
    <t>43598-315-60</t>
  </si>
  <si>
    <t>43598-315-90</t>
  </si>
  <si>
    <t>43598-315-05</t>
  </si>
  <si>
    <t>43598-313-30</t>
  </si>
  <si>
    <t>43598-313-60</t>
  </si>
  <si>
    <t>43598-313-90</t>
  </si>
  <si>
    <t>43598-313-05</t>
  </si>
  <si>
    <t>Sinnar, Nashik District</t>
  </si>
  <si>
    <t>India</t>
  </si>
  <si>
    <t>ANDA090483</t>
  </si>
  <si>
    <t>AMLODIPINE AND VALSARTAN</t>
  </si>
  <si>
    <t>Mylan Pharmaceuticals Inc.</t>
  </si>
  <si>
    <t>0378-1721</t>
  </si>
  <si>
    <t>97bfe7c1-7e4b-45a1-b045-ff48275f1488</t>
  </si>
  <si>
    <t>aa7e7d95-520a-461c-b1b3-e588aeb6a613</t>
  </si>
  <si>
    <t>0378-1721-93</t>
  </si>
  <si>
    <t>80M03YXJ7I</t>
  </si>
  <si>
    <t>Mylan Laboratories Limited, (Nashik FDF)</t>
  </si>
  <si>
    <t>F-4 F-12, Malegaon M.I.D.C., Sinnar</t>
  </si>
  <si>
    <t>Product was distributed throughout the United States to several major distributors, including Puerto Rico.</t>
  </si>
  <si>
    <t>D-0320-2019</t>
  </si>
  <si>
    <t>Amlodipine and Valsartan Tablets, USP  5/160 mg, 30-count bottles, Rx Only, Made in India, Manufactured for: Mylan Pharmaceuticals, Inc., Morgantown, WV 26505 U.S.A. NDC 0378-1721-93.</t>
  </si>
  <si>
    <t>141,995 HDPE bottles</t>
  </si>
  <si>
    <t>GCMP Deviations: FDA analysis confirmed presence of trace amounts of an impurity, N-nitrosodiethylamine (NDEA) found in the API used to manufacture the product.</t>
  </si>
  <si>
    <t>Lot Numbers:3064084, 3069629, 3073148, 3073149,3076093, 3077772</t>
  </si>
  <si>
    <t>0378-1722</t>
  </si>
  <si>
    <t>0378-1723</t>
  </si>
  <si>
    <t>0378-1722-93</t>
  </si>
  <si>
    <t>0378-1723-93</t>
  </si>
  <si>
    <t>0378-1724-93</t>
  </si>
  <si>
    <t>0378-1724</t>
  </si>
  <si>
    <t>N0000000070</t>
  </si>
  <si>
    <t>N0000175561</t>
  </si>
  <si>
    <t>Angiotensin 2 Receptor Blocker [EPC]</t>
  </si>
  <si>
    <t>VALSARTAN</t>
  </si>
  <si>
    <t>Angiotensin 2 Receptor Antagonists [MoA]</t>
  </si>
  <si>
    <t>Seymour</t>
  </si>
  <si>
    <t>ANDA215802</t>
  </si>
  <si>
    <t>LISDEXAMFETAMINE DIMESYLATE</t>
  </si>
  <si>
    <t>Lannett Company, Inc.</t>
  </si>
  <si>
    <t>0527-4661</t>
  </si>
  <si>
    <t>981ca74f-737d-45e5-a3b2-b25256263768</t>
  </si>
  <si>
    <t>2cedb4c2-1e40-4bc4-b9f4-127150c4afbd</t>
  </si>
  <si>
    <t>0527-4661-37</t>
  </si>
  <si>
    <t>SJT761GEGS</t>
  </si>
  <si>
    <t>Lannett Company Inc.</t>
  </si>
  <si>
    <t>1101 C Ave W</t>
  </si>
  <si>
    <t>47274-3342</t>
  </si>
  <si>
    <t>D-0112-2025</t>
  </si>
  <si>
    <t>Lisdexamfetamine Dimesylate Capsules, 10 mg, 100 Capsules per bottle, Rx only, Distributed by: Lannet Company, Philadelphia, PA 19136, NDC:  0527-4661-37</t>
  </si>
  <si>
    <t>1608 bottles</t>
  </si>
  <si>
    <t>Failed Content Uniformity Specifications: Product failed to meet the action limits for stratified content uniformity.</t>
  </si>
  <si>
    <t>Lot: 23274856A, Exp 04/30/2025</t>
  </si>
  <si>
    <t>0527-4662</t>
  </si>
  <si>
    <t>0527-4663</t>
  </si>
  <si>
    <t>0527-4662-37</t>
  </si>
  <si>
    <t>0527-4663-37</t>
  </si>
  <si>
    <t>0527-4664-37</t>
  </si>
  <si>
    <t>0527-4665-37</t>
  </si>
  <si>
    <t>0527-4666-37</t>
  </si>
  <si>
    <t>0527-4667-37</t>
  </si>
  <si>
    <t>0527-4664</t>
  </si>
  <si>
    <t>0527-4665</t>
  </si>
  <si>
    <t>0527-4666</t>
  </si>
  <si>
    <t>0527-4667</t>
  </si>
  <si>
    <t>D-0097-2025</t>
  </si>
  <si>
    <t>Diltiazem Hydrochloride Extended-Release Capsules, USP 90mg, Twice-a-Day Dosage, Rx Only, 100 Capsules per bottle, Mfd for: Northstar Rx LLC, Memphis, TN, Mfd by: Glenmark Pharmaceuticals Limited, Pithampur, Madhya Pradesh India, NDC 16714-554-01.</t>
  </si>
  <si>
    <t>4704 bottles</t>
  </si>
  <si>
    <t>Lot #: 17222452, Exp Date 11/30/2024; 17230607, Exp Date 02/28/2025.</t>
  </si>
  <si>
    <t>Kalamazoo</t>
  </si>
  <si>
    <t>NDA050441</t>
  </si>
  <si>
    <t>CLEOCIN PHOSPHATE</t>
  </si>
  <si>
    <t>CLINDAMYCIN PHOSPHATE</t>
  </si>
  <si>
    <t>Pharmacia &amp; Upjohn Company LLC</t>
  </si>
  <si>
    <t>0009-0728</t>
  </si>
  <si>
    <t>e1cef283-1e43-40ae-b892-093b539c3bf4</t>
  </si>
  <si>
    <t>05a75685-0af5-407c-ac57-e380c882b49d</t>
  </si>
  <si>
    <t>0009-0870-21</t>
  </si>
  <si>
    <t>EH6D7113I8</t>
  </si>
  <si>
    <t>Pharmacia &amp; Upjohn LLC</t>
  </si>
  <si>
    <t>7000 Portage Rd</t>
  </si>
  <si>
    <t>49001-0102</t>
  </si>
  <si>
    <t>D-609-2013</t>
  </si>
  <si>
    <t>Cleocin Phosphate (clindamycin Injection), USP, a) 600 mg/4mL (150 mg/mL) ADD-Vantage Vial, b) 900 mg/6mL (150 mg/mL) ADD-Vantage Vial, Rx Only, For Intravenous Use Only, Use Only with the ADD-Vantage diluent container, Distributed by Pharmacia &amp; Upjohn Co, Division of Pfizer Inc, NY, NY 10017, NDC a) 0009-3124-03 and b) 0009-3447-03</t>
  </si>
  <si>
    <t>898,900 Vials</t>
  </si>
  <si>
    <t>Presence of Particulate Matter: Firm is recalling a small number of vials with very small reflective flakes consistent with delamination of the glass vial.</t>
  </si>
  <si>
    <t>Lots: a) G34908, Exp 06/14; G53479, Exp 09/14; G63442, G58347, Exp 10/14; G80133, Exp 12/14; and b) G34910, Exp 06/14; G36879, G41005, Exp 07/14; G53478, Exp 09/14; G63444, Exp 10/14; G76317, Exp 11/14.</t>
  </si>
  <si>
    <t>0009-0870</t>
  </si>
  <si>
    <t>0009-0775</t>
  </si>
  <si>
    <t>0009-0870-26</t>
  </si>
  <si>
    <t>0009-0775-20</t>
  </si>
  <si>
    <t>0009-0775-26</t>
  </si>
  <si>
    <t>0009-0902-11</t>
  </si>
  <si>
    <t>0009-0902-18</t>
  </si>
  <si>
    <t>0009-0728-05</t>
  </si>
  <si>
    <t>0009-0728-09</t>
  </si>
  <si>
    <t>0009-3124-01</t>
  </si>
  <si>
    <t>0009-3124-03</t>
  </si>
  <si>
    <t>0009-3447-01</t>
  </si>
  <si>
    <t>0009-3447-03</t>
  </si>
  <si>
    <t>0009-0902</t>
  </si>
  <si>
    <t>0009-3124</t>
  </si>
  <si>
    <t>0009-3381-01</t>
  </si>
  <si>
    <t>0009-3381-02</t>
  </si>
  <si>
    <t>0009-3375-01</t>
  </si>
  <si>
    <t>0009-3375-02</t>
  </si>
  <si>
    <t>0009-3382-01</t>
  </si>
  <si>
    <t>0009-3382-02</t>
  </si>
  <si>
    <t>0009-6582-02</t>
  </si>
  <si>
    <t>0009-6582-01</t>
  </si>
  <si>
    <t>0009-3447</t>
  </si>
  <si>
    <t>0009-3381</t>
  </si>
  <si>
    <t>0009-3375</t>
  </si>
  <si>
    <t>0009-3382</t>
  </si>
  <si>
    <t>0009-6582</t>
  </si>
  <si>
    <t>D-0089-2025</t>
  </si>
  <si>
    <t>Array Liquid Antiseptic Handwash, Chloroxylenol 0.1%, NET CONTENTS: 128 FL OZ (1 GAL) 3.785 L, FOR DISTRIBUTION EXCLUSIVELY BY GORDON FOOD SERVICE, WYOMING, MI 49509</t>
  </si>
  <si>
    <t>D-0323-2019</t>
  </si>
  <si>
    <t>Amlodipine and Valsartan Tablets, USP 10/320 mg, 30-count bottles, Rx Only, Made in India, Manufactured for: Mylan Pharmaceuticals, Inc., NDC 0378-1724-93.</t>
  </si>
  <si>
    <t>84,066 HDPE bottles</t>
  </si>
  <si>
    <t>Lot Numbers:  3066064, 3069645, 3069646, 3073142, 3073143, 3073144, 3077617</t>
  </si>
  <si>
    <t>Pennington</t>
  </si>
  <si>
    <t>ANDA206055</t>
  </si>
  <si>
    <t>ESOMEPRAZOLE MAGNESIUM</t>
  </si>
  <si>
    <t>Zydus Pharmaceuticals USA Inc.</t>
  </si>
  <si>
    <t>68382-848</t>
  </si>
  <si>
    <t>ESOMEPRAZOLE MAGNESIUM DIHYDRATE</t>
  </si>
  <si>
    <t>bc31956a-671b-4ca3-b9dd-1fdb03003cae</t>
  </si>
  <si>
    <t>190a4c5b-1547-45d7-b00b-10da4131e2e2</t>
  </si>
  <si>
    <t>68382-848-94</t>
  </si>
  <si>
    <t>36H71644EQ</t>
  </si>
  <si>
    <t>Zydus Pharmaceuticals (USA) Inc</t>
  </si>
  <si>
    <t>73 Route 31 N</t>
  </si>
  <si>
    <t>08534-3601</t>
  </si>
  <si>
    <t>USA Nationwide.</t>
  </si>
  <si>
    <t>D-0102-2025</t>
  </si>
  <si>
    <t>Esomeprazole Magnesium for Delayed-Release Oral Suspension 40 mg, 30 Single-Dose Packets, Rx Only, Manufactured by: Zydus Lifesciences Ltd. Ahmedabad, India, Distributed by: Zydus Pharmaceuticals (USA) Inc., Pennington, NJ 08534, NDC 68382-849-94.  Packaged in sachets</t>
  </si>
  <si>
    <t>4404 packs</t>
  </si>
  <si>
    <t>Labeling: Not Elsewhere Classified - Wrong NDC number</t>
  </si>
  <si>
    <t>Lot#: M408002, Exp 05/31/2026</t>
  </si>
  <si>
    <t>68382-849</t>
  </si>
  <si>
    <t>68382-849-94</t>
  </si>
  <si>
    <t>East Brunswick</t>
  </si>
  <si>
    <t>Rising Pharma Holdings, Inc.</t>
  </si>
  <si>
    <t>57237-017</t>
  </si>
  <si>
    <t>4166006e-ead3-4e01-8b11-07d26ac957ed</t>
  </si>
  <si>
    <t>ea2dc1a6-22d5-4295-9d39-9bf015dc5a89</t>
  </si>
  <si>
    <t>57237-017-60</t>
  </si>
  <si>
    <t>Rising Pharma Holding, Inc.</t>
  </si>
  <si>
    <t>2 Tower Center Blvd Ste 1401</t>
  </si>
  <si>
    <t>08816-1149</t>
  </si>
  <si>
    <t>Nationwide.</t>
  </si>
  <si>
    <t>D-0107-2025</t>
  </si>
  <si>
    <t>Duloxetine DR Capsules USP 60 mg, a) 30 count (NDC 57237-019-30), b) 90 count NDC 57237-019-90 and c) 1000 count (NDC 57237-019-99) bottles, Distributed by: Rising Pharmaceuticals, Inc., East Brunswick, NJ</t>
  </si>
  <si>
    <t>233,003 bottles</t>
  </si>
  <si>
    <t>CGMP Deviations: Presence of N-nitroso-duloxetine impurity above recommended interim limit</t>
  </si>
  <si>
    <t>a) 30s; DT6023059A, DT6023060A, DT6023065A, DT6023069A, DT6023070A, exp. date Jan-25, DT6023080A, exp. date Feb-25, DT6023093A, exp. date Mar-25, DTC24012A, exp. date Dec-25;  b) 90s; DT6023108A, exp. date Apr-25, DTC23201A, exp. date Aug-25;  c) 1000s;  DT6022160A,  DT6022165A,  DT6022162A,  DT6022164A,  DT6022163A,  DT6022171A,  DT6022169A,  DT6022170A,  DT6022173A, exp. date Nov-24, DT6023009A,  DT6023007A,  DT6023008A,  DT6023011A,  DT6023034B, exp. date Dec-24, DT6023067C, exp. date Jan-25, DT6023114A, exp. date Apr-25, DTC23243A, exp. date Oct-25, DTC24040A, exp. date Dec-25</t>
  </si>
  <si>
    <t>57237-018</t>
  </si>
  <si>
    <t>57237-019</t>
  </si>
  <si>
    <t>57237-017-99</t>
  </si>
  <si>
    <t>57237-018-30</t>
  </si>
  <si>
    <t>57237-018-90</t>
  </si>
  <si>
    <t>57237-018-99</t>
  </si>
  <si>
    <t>57237-019-30</t>
  </si>
  <si>
    <t>57237-019-90</t>
  </si>
  <si>
    <t>57237-019-99</t>
  </si>
  <si>
    <t>NDA200403</t>
  </si>
  <si>
    <t>HYDROMORPHONE HYDROCHLORIDE</t>
  </si>
  <si>
    <t>0409-1283</t>
  </si>
  <si>
    <t>8f74252c-9a34-4f85-a62c-e42bbff1a22f</t>
  </si>
  <si>
    <t>e9c9ef18-7dfc-4322-b2fc-29b934c30f8b</t>
  </si>
  <si>
    <t>0409-2552-11</t>
  </si>
  <si>
    <t>L960UP2KRW</t>
  </si>
  <si>
    <t>D-020-2013</t>
  </si>
  <si>
    <t>HYDROmorphone HCl Injection, USP, 2 mg/mL, 1 mL fill in a 2.5 mL Carpuject prefilled cartridge unit, packaged in 10-count Carpujects per carton, Rx only, Hospira, Inc., Lake Forest, IL 60045, NDC 0409-1312-30, Barcode (01) 1 030409 131230 9 (carton), (01) 0 030409 131230 2 (cartridge unit).</t>
  </si>
  <si>
    <t>216,880 cartridge units</t>
  </si>
  <si>
    <t>Superpotent (Single Ingredient) Drug: The prefilled cartridge unit has been found to be overfilled and contain more than the 1 mL labeled fill volume.</t>
  </si>
  <si>
    <t>Lot 12720LL, Exp 12/01/13</t>
  </si>
  <si>
    <t>0409-2552</t>
  </si>
  <si>
    <t>0409-3356</t>
  </si>
  <si>
    <t>0409-2552-01</t>
  </si>
  <si>
    <t>0409-3356-11</t>
  </si>
  <si>
    <t>0409-3356-01</t>
  </si>
  <si>
    <t>0409-2540-11</t>
  </si>
  <si>
    <t>0409-2540-01</t>
  </si>
  <si>
    <t>0409-3365-11</t>
  </si>
  <si>
    <t>0409-3365-01</t>
  </si>
  <si>
    <t>0409-3365-10</t>
  </si>
  <si>
    <t>0409-1283-03</t>
  </si>
  <si>
    <t>0409-1283-31</t>
  </si>
  <si>
    <t>0409-1283-09</t>
  </si>
  <si>
    <t>0409-2540</t>
  </si>
  <si>
    <t>0409-3365</t>
  </si>
  <si>
    <t>0409-1283-10</t>
  </si>
  <si>
    <t>0409-1283-04</t>
  </si>
  <si>
    <t>0409-1283-05</t>
  </si>
  <si>
    <t>0409-1312-03</t>
  </si>
  <si>
    <t>0409-1312-30</t>
  </si>
  <si>
    <t>0409-1312-09</t>
  </si>
  <si>
    <t>0409-1312-10</t>
  </si>
  <si>
    <t>0409-1304-03</t>
  </si>
  <si>
    <t>0409-1312</t>
  </si>
  <si>
    <t>0409-1304</t>
  </si>
  <si>
    <t>0409-1304-31</t>
  </si>
  <si>
    <t>SUBCUTANEOUS</t>
  </si>
  <si>
    <t>New York</t>
  </si>
  <si>
    <t>NDA020125</t>
  </si>
  <si>
    <t>ACCURETIC</t>
  </si>
  <si>
    <t>QUINAPRIL AND HYDROCHLOROTHIAZIDE</t>
  </si>
  <si>
    <t>Parke-Davis Div of Pfizer Inc</t>
  </si>
  <si>
    <t>0071-3112</t>
  </si>
  <si>
    <t>HYDROCHLOROTHIAZIDE</t>
  </si>
  <si>
    <t>489727cb-429e-4f04-a973-ae4dc7898519</t>
  </si>
  <si>
    <t>80e9d61d-9674-4ac4-b84c-79a875d408dd</t>
  </si>
  <si>
    <t>0071-0223-23</t>
  </si>
  <si>
    <t>0J48LPH2TH</t>
  </si>
  <si>
    <t>Pfizer Inc.</t>
  </si>
  <si>
    <t>235 East 42nd Street</t>
  </si>
  <si>
    <t>10017-5703</t>
  </si>
  <si>
    <t>D-0761-2022</t>
  </si>
  <si>
    <t>Accuretic (quinapril HCl/hydrochlorothiazide) tablets, 20 mg/12.5 mg*, 90 Tablets, Rx Only, Distributed by: Parke-Davis, Division of Pfizer Inc., NY. NY 10017, Made in Germany,  NDC 0071-5212-23    .</t>
  </si>
  <si>
    <t>195 bottles</t>
  </si>
  <si>
    <t>CGMP Deviations: N-nitroso-quinapril and N-nitroso-hydrochlorothiazide impurity above the acceptable daily intake limit.</t>
  </si>
  <si>
    <t>Lot FG5381; Exp. 08/2024</t>
  </si>
  <si>
    <t>0071-0223</t>
  </si>
  <si>
    <t>0071-5212</t>
  </si>
  <si>
    <t>0071-3112-23</t>
  </si>
  <si>
    <t>0071-5212-23</t>
  </si>
  <si>
    <t>0071-7225-23</t>
  </si>
  <si>
    <t>0071-7225</t>
  </si>
  <si>
    <t>N0000175359</t>
  </si>
  <si>
    <t>N0000175419</t>
  </si>
  <si>
    <t>Thiazides [CS]</t>
  </si>
  <si>
    <t>Thiazide Diuretic [EPC]</t>
  </si>
  <si>
    <t>QUINAPRIL HYDROCHLORIDE</t>
  </si>
  <si>
    <t>M0471776</t>
  </si>
  <si>
    <t>Increased Diuresis [PE]</t>
  </si>
  <si>
    <t>33067B3N2M</t>
  </si>
  <si>
    <t>D-0110-2025</t>
  </si>
  <si>
    <t>Cinacalcet Tablets, 90 mg, 30-count bottle, Rx only, Manufactured for: AvKARE, Pulaski, TN 38478, NDC 42291-461-30</t>
  </si>
  <si>
    <t>2,796 bottles</t>
  </si>
  <si>
    <t>Lot #: 44405, Exp 12/31/2024</t>
  </si>
  <si>
    <t>D-0092-2025</t>
  </si>
  <si>
    <t>Compliance Dishwashing Liquid &amp; Antibacterial Soap, PCMX 0.1%, Net Contents: 1 Gallon, 128 Ounces, 3.785 Liters,  Royal Corporation, 10232 Palm Drive, Santa Fe Springs, CA 90670</t>
  </si>
  <si>
    <t>NDA021254</t>
  </si>
  <si>
    <t>ADVAIR HFA</t>
  </si>
  <si>
    <t>FLUTICASONE PROPIONATE AND SALMETEROL XINAFOATE</t>
  </si>
  <si>
    <t>GlaxoSmithKline LLC</t>
  </si>
  <si>
    <t>0173-0715</t>
  </si>
  <si>
    <t>RESPIRATORY (INHALATION)</t>
  </si>
  <si>
    <t>FLUTICASONE PROPIONATE</t>
  </si>
  <si>
    <t>41f42eae-40d8-499e-8b52-d73a98ffc998</t>
  </si>
  <si>
    <t>dfaca6f9-3277-47b2-319d-1377917cb54c</t>
  </si>
  <si>
    <t>0173-0715-20</t>
  </si>
  <si>
    <t>6EW8Q962A5</t>
  </si>
  <si>
    <t>Nationwide and Puerto Rico.</t>
  </si>
  <si>
    <t>D-064-2013</t>
  </si>
  <si>
    <t>Advair HFA (fluticasone propionate 45 mcg and salmeterol 21 mcg) Inhalation Aerosol, 12g, 120 Metered Actuations, For Oral Inhalation with Advair HFA actuator only, Rx only, GlaxoSmithKline, Research Triangle Park, NC 27709, NDC 0173-0715-20.</t>
  </si>
  <si>
    <t>310,964 Aerosol Units</t>
  </si>
  <si>
    <t>Product Lacks Stability: These lots are being recalled due to the failure to meet the particle size distribution specification.</t>
  </si>
  <si>
    <t>Lot #: 1ZP2465, Exp Oct-12, 1ZP5224, Exp. Nov-12, 1ZP5455, 1ZP6916, Exp. Dec-12, 1ZP8042, 1ZP9593, Exp Jan-13, 1ZP9900, Exp. Mar-13, 1ZP1134, Exp. Apr-13, 1ZP3190, 2ZP6531, Exp. May-13, 2ZP6924, 2ZP7258, Exp. Jul-13, 2ZP1886, 2ZP9975, 2ZP0027, 2ZP9782, Exp. Sep-13, 2ZP1331, Exp. Oct-13, 2ZP2366, Exp. Nov-13.</t>
  </si>
  <si>
    <t>0173-0716</t>
  </si>
  <si>
    <t>0173-0717</t>
  </si>
  <si>
    <t>0173-0715-22</t>
  </si>
  <si>
    <t>0173-0716-20</t>
  </si>
  <si>
    <t>0173-0716-22</t>
  </si>
  <si>
    <t>0173-0717-20</t>
  </si>
  <si>
    <t>0173-0717-22</t>
  </si>
  <si>
    <t>SALMETEROL XINAFOATE</t>
  </si>
  <si>
    <t>O2GMZ0LF5W</t>
  </si>
  <si>
    <t>D-0754-2022</t>
  </si>
  <si>
    <t>Accuretic (quinapril HCl/hydrochlorothiazide) Tablets, 10 mg/12.5 mg*, 90 Tablets bottles, Rx Only, Distributed by: Parke-Davis, Division of Pfizer Inc, NY, NY 10017, Made in Germany,  NDC 0071-3112-23.</t>
  </si>
  <si>
    <t>53 bottles</t>
  </si>
  <si>
    <t>Lot FG5379; Exp. 08/2024</t>
  </si>
  <si>
    <t>Sacramento</t>
  </si>
  <si>
    <t>Boulla LLC</t>
  </si>
  <si>
    <t>2108 N ST #7929</t>
  </si>
  <si>
    <t>E-Mail</t>
  </si>
  <si>
    <t>Nationwide within the United States</t>
  </si>
  <si>
    <t>D-0083-2025</t>
  </si>
  <si>
    <t>VitalityXtra Capsules, 500 mg, packaged in 10 count blisters in cartons, Distributed by: VitalityXtra, San Francisco, CA www.vitalityxtra.com</t>
  </si>
  <si>
    <t>Marketed without an approved NDA/ANDA: Products found to contain undeclared sildenafil and diclofenac.</t>
  </si>
  <si>
    <t>Lot #: 230811, Exp: 08/11/2025</t>
  </si>
  <si>
    <t>ANDA201193</t>
  </si>
  <si>
    <t>OXCARBAZEPINE</t>
  </si>
  <si>
    <t>Hikma Pharmaceuticals USA Inc.</t>
  </si>
  <si>
    <t>0054-0199</t>
  </si>
  <si>
    <t>39c18929-4ff4-4d24-82e3-6505e561ff65</t>
  </si>
  <si>
    <t>45a6d619-9198-45c3-b9fa-1b52325366d3</t>
  </si>
  <si>
    <t>0054-0199-59</t>
  </si>
  <si>
    <t>VZI5B1W380</t>
  </si>
  <si>
    <t>Boehringer Ingelheim Roxane Inc</t>
  </si>
  <si>
    <t>1809 Wilson Rd</t>
  </si>
  <si>
    <t>43228-9579</t>
  </si>
  <si>
    <t>D-002-2014</t>
  </si>
  <si>
    <t>Oxcarbazepine Oral Suspension, 300 mg/5 mL, 250 mL bottle, Rx only, Boehringer Ingelheim, Roxane Laboratories, Inc. Columbus, Ohio 43216, NDC 0054-0199-59</t>
  </si>
  <si>
    <t>10,267 bottles</t>
  </si>
  <si>
    <t>Resuspension Problems: Recalled lot did not meet resuspendability requirements.</t>
  </si>
  <si>
    <t>Lot # 161304B, Exp. OCT 2013</t>
  </si>
  <si>
    <t>N0000175753</t>
  </si>
  <si>
    <t>N0000008486</t>
  </si>
  <si>
    <t>Anti-epileptic Agent [EPC]</t>
  </si>
  <si>
    <t>Decreased Central Nervous System Disorganized Electrical Activity [PE]</t>
  </si>
  <si>
    <t>Camarillo</t>
  </si>
  <si>
    <t>ANDA200909</t>
  </si>
  <si>
    <t>EZETIMIBE AND SIMVASTATIN</t>
  </si>
  <si>
    <t>Golden State Medical Supply</t>
  </si>
  <si>
    <t>51407-190</t>
  </si>
  <si>
    <t>EZETIMIBE</t>
  </si>
  <si>
    <t>0c7b8b84-3a6b-7cb1-e063-6294a90a42a4</t>
  </si>
  <si>
    <t>88cd0e7b-e8dc-6125-e053-2a95a90aaa27</t>
  </si>
  <si>
    <t>51407-190-30</t>
  </si>
  <si>
    <t>AGG2FN16EV</t>
  </si>
  <si>
    <t>Golden State Medical Supply Inc.</t>
  </si>
  <si>
    <t>5187 Camino Ruiz</t>
  </si>
  <si>
    <t>93012-8601</t>
  </si>
  <si>
    <t>Distributed to two distributors located in AZ and MO</t>
  </si>
  <si>
    <t>D-0228-2022</t>
  </si>
  <si>
    <t>Ezetimibe and Simvastatin Tablets, 10 mg/80mg, 500 tablet bottles, Rx only, Manufactured by Dr. Reddy's Laboratories LA LLC Shreveport, LA 71106 USA, Packaged by GSMS, Incorporated Camarillo, CA 93012 USA; NDC 51407-193-05</t>
  </si>
  <si>
    <t>Failed Excipient Specification; product manufactured using an excipient found to be OOS for conductivity</t>
  </si>
  <si>
    <t>GS040048, Exp: 1/2023</t>
  </si>
  <si>
    <t>51407-191</t>
  </si>
  <si>
    <t>51407-192</t>
  </si>
  <si>
    <t>51407-190-90</t>
  </si>
  <si>
    <t>51407-190-10</t>
  </si>
  <si>
    <t>51407-191-30</t>
  </si>
  <si>
    <t>51407-191-90</t>
  </si>
  <si>
    <t>51407-191-10</t>
  </si>
  <si>
    <t>51407-192-30</t>
  </si>
  <si>
    <t>51407-192-90</t>
  </si>
  <si>
    <t>51407-192-05</t>
  </si>
  <si>
    <t>51407-192-10</t>
  </si>
  <si>
    <t>51407-193-30</t>
  </si>
  <si>
    <t>51407-193-90</t>
  </si>
  <si>
    <t>51407-193</t>
  </si>
  <si>
    <t>51407-193-05</t>
  </si>
  <si>
    <t>N0000175589</t>
  </si>
  <si>
    <t>N0000000121</t>
  </si>
  <si>
    <t>HMG-CoA Reductase Inhibitor [EPC]</t>
  </si>
  <si>
    <t>SIMVASTATIN</t>
  </si>
  <si>
    <t>N0000008553</t>
  </si>
  <si>
    <t>N0000175911</t>
  </si>
  <si>
    <t>Decreased Cholesterol Absorption [PE]</t>
  </si>
  <si>
    <t>EOR26LQQ24</t>
  </si>
  <si>
    <t>43598-742</t>
  </si>
  <si>
    <t>43598-744</t>
  </si>
  <si>
    <t>43598-743</t>
  </si>
  <si>
    <t>Hydroxymethylglutaryl-CoA Reductase Inhibitors [MoA]</t>
  </si>
  <si>
    <t>43598-745</t>
  </si>
  <si>
    <t>Dietary Cholesterol Absorption Inhibitor [EPC]</t>
  </si>
  <si>
    <t>ANDA075240</t>
  </si>
  <si>
    <t>LABETALOL HYDROCHLORIDE</t>
  </si>
  <si>
    <t>0409-0125</t>
  </si>
  <si>
    <t>ea339ea4-9c25-41d1-9256-2dd55f509b6a</t>
  </si>
  <si>
    <t>abfc6b75-1ed5-41f1-0484-4597488237bc</t>
  </si>
  <si>
    <t>0409-2267-20</t>
  </si>
  <si>
    <t>1GEV3BAW9J</t>
  </si>
  <si>
    <t>D-1424-2014</t>
  </si>
  <si>
    <t>Labetalol Hydrochloride Injection, USP, 100 mg/20 mL (5 mg/mL), 20 mL Multidose Vial, packaged 50/20 mL glass vials/carton, Hospira, Inc., Lake Forest, IL 60045 --- NDC 0409-2267-20</t>
  </si>
  <si>
    <t>45,448 vials</t>
  </si>
  <si>
    <t>Presence of Particulate Matter; metal embedded in the glass vial and visible particles floating in the solution</t>
  </si>
  <si>
    <t>Lot 36225DD, exp 12/01/2015</t>
  </si>
  <si>
    <t>0409-2267</t>
  </si>
  <si>
    <t>0409-2267-54</t>
  </si>
  <si>
    <t>0409-0125-01</t>
  </si>
  <si>
    <t>0409-0125-25</t>
  </si>
  <si>
    <t>Miami</t>
  </si>
  <si>
    <t>NDA020870</t>
  </si>
  <si>
    <t>COMBIPATCH (ESTRADIOL/NORETHINDRONE ACETATE TRANSDERMAL SYSTEM)</t>
  </si>
  <si>
    <t>ESTRADIOL/NORETHINDRONE ACETATE TRANSDERMAL SYSTEM</t>
  </si>
  <si>
    <t>Noven Therapeutics, LLC</t>
  </si>
  <si>
    <t>68968-0514</t>
  </si>
  <si>
    <t>TRANSDERMAL</t>
  </si>
  <si>
    <t>ESTRADIOL</t>
  </si>
  <si>
    <t>a8dddb67-4c56-4d1d-a4ce-83dc426d33f6</t>
  </si>
  <si>
    <t>83198ef1-11c4-11e4-9191-0800200c9a66</t>
  </si>
  <si>
    <t>68968-0514-8</t>
  </si>
  <si>
    <t>9S44LIC7OJ</t>
  </si>
  <si>
    <t>Noven Pharmaceuticals Inc</t>
  </si>
  <si>
    <t>11960 Sw 144th St</t>
  </si>
  <si>
    <t>33186-6109</t>
  </si>
  <si>
    <t>D-0725-2021</t>
  </si>
  <si>
    <t>Combipatch (estradiol/norethindrone acetate transdermal system) 0.05/0.25 mg per day 50/250 Twice Weekly Rx Only a) 2 Systems NDC 68968-0525-2; b) 8 Systems NDC 68968-0525-8, Mfd. by: Noven Pharmaceuticals, Inc., Miami, Florida 33186, Dist. by: Noven Therapeutics LLC, Miami, Florida 33186</t>
  </si>
  <si>
    <t>70,638 boxes</t>
  </si>
  <si>
    <t>Failed Stability Specifications; out of specification for shear.</t>
  </si>
  <si>
    <t>Lots: 88540 Exp. 03/2022; 89118 Exp. 05/2022; 89244 Exp. 07/2022; 89244 (sample lot) Exp. 07/2022</t>
  </si>
  <si>
    <t>68968-0525</t>
  </si>
  <si>
    <t>68968-0525-8</t>
  </si>
  <si>
    <t>68968-0525-2</t>
  </si>
  <si>
    <t>M0447348</t>
  </si>
  <si>
    <t>N0000175825</t>
  </si>
  <si>
    <t>Estradiol Congeners [CS]</t>
  </si>
  <si>
    <t>Estrogen [EPC]</t>
  </si>
  <si>
    <t>NORETHINDRONE ACETATE</t>
  </si>
  <si>
    <t>N0000000100</t>
  </si>
  <si>
    <t>4TI98Z838E</t>
  </si>
  <si>
    <t>Estrogen Receptor Agonists [MoA]</t>
  </si>
  <si>
    <t>D-0091-2025</t>
  </si>
  <si>
    <t>Genuine Joe Antibacterial Lotion Soap , Chloroxylenol 0.1%, 1 GALLON (3.78L), Manufactured in the U.S.A. for S.P. Richards Co., Atlanta, GA 30339</t>
  </si>
  <si>
    <t>New Delhi</t>
  </si>
  <si>
    <t>M017</t>
  </si>
  <si>
    <t>THERA CARE COLD HOT MEDICATED PATCH</t>
  </si>
  <si>
    <t>MENTHOL</t>
  </si>
  <si>
    <t>Veridian Healthcare</t>
  </si>
  <si>
    <t>71101-954</t>
  </si>
  <si>
    <t>20d6f5cc-2c81-74a0-e063-6394a90abfed</t>
  </si>
  <si>
    <t>b1ce129d-06a1-7755-e053-2995a90abd7d</t>
  </si>
  <si>
    <t>71101-954-05</t>
  </si>
  <si>
    <t>L7T10EIP3A</t>
  </si>
  <si>
    <t>Unexo Life Sciences Private Limited</t>
  </si>
  <si>
    <t>B16, Sector 4, Bawana Industrial Area</t>
  </si>
  <si>
    <t>Nationwide in the US</t>
  </si>
  <si>
    <t>D-0066-2025</t>
  </si>
  <si>
    <t>THERACARE Cold Hot Medicated Patch, Menthol 5%, 5 patches per box, Manufactured for: Veridian Healthcare, LLC, Gurnee, IL  60031 NDC 71101-954-05, UPC 8 45717 00818 1</t>
  </si>
  <si>
    <t>279,936 patches</t>
  </si>
  <si>
    <t>cGMP Deficiencies</t>
  </si>
  <si>
    <t>UPC 8 45717 00818 1</t>
  </si>
  <si>
    <t>Eatontown</t>
  </si>
  <si>
    <t>ANDA076558</t>
  </si>
  <si>
    <t>CIPROFLOXACIN</t>
  </si>
  <si>
    <t>0143-9927</t>
  </si>
  <si>
    <t>CIPROFLOXACIN HYDROCHLORIDE</t>
  </si>
  <si>
    <t>96b157af-1b98-4a3e-a0ed-6ebc905e633c</t>
  </si>
  <si>
    <t>3b3d22dc-df09-4910-8c9b-1204eeedbd68</t>
  </si>
  <si>
    <t>0143-9927-01</t>
  </si>
  <si>
    <t>4BA73M5E37</t>
  </si>
  <si>
    <t>West-ward Pharmaceutical Corp.</t>
  </si>
  <si>
    <t>465 Industrial Way W</t>
  </si>
  <si>
    <t>07724-2209</t>
  </si>
  <si>
    <t>GA, AR</t>
  </si>
  <si>
    <t>D-220-2013</t>
  </si>
  <si>
    <t>Ciprofloxacin Tablets USP, 500 mg, 100-count bottle, Rx only, Manufactured for West-ward Pharmaceutical Corp., Eatowntown, NJ 07724 by Hikma Pharmaceuticals, Amman, Jordan, NDC 0143-9928-01</t>
  </si>
  <si>
    <t>7,136 units</t>
  </si>
  <si>
    <t>Presence of Foreign Substance(s): A complaint was received for a rubber-like material in a 500 mg Ciprofloxacin tablet.</t>
  </si>
  <si>
    <t>Lot #: CB222A, Exp 06/16</t>
  </si>
  <si>
    <t>0143-9928</t>
  </si>
  <si>
    <t>0143-9929</t>
  </si>
  <si>
    <t>0143-9927-05</t>
  </si>
  <si>
    <t>0143-9927-30</t>
  </si>
  <si>
    <t>0143-9928-01</t>
  </si>
  <si>
    <t>0143-9928-05</t>
  </si>
  <si>
    <t>0143-9928-30</t>
  </si>
  <si>
    <t>0143-9929-01</t>
  </si>
  <si>
    <t>0143-9929-50</t>
  </si>
  <si>
    <t>Largo</t>
  </si>
  <si>
    <t>ANDA210746</t>
  </si>
  <si>
    <t>CLOBAZAM</t>
  </si>
  <si>
    <t>VistaPharm, LLC</t>
  </si>
  <si>
    <t>66689-058</t>
  </si>
  <si>
    <t>cd1c5098-0fdf-4923-8b50-0e7c3e62d8f9</t>
  </si>
  <si>
    <t>879e57c5-47ce-4942-acbb-6263951ba591</t>
  </si>
  <si>
    <t>66689-058-04</t>
  </si>
  <si>
    <t>2MRO291B4U</t>
  </si>
  <si>
    <t>VistaPharm, Inc.</t>
  </si>
  <si>
    <t>7265 Ulmerton Rd</t>
  </si>
  <si>
    <t>33771-4809</t>
  </si>
  <si>
    <t>Nationwide within the United States including Puerto Rico</t>
  </si>
  <si>
    <t>D-0376-2022</t>
  </si>
  <si>
    <t>Clobazam Oral Suspension 2.5 mg/mL, 120 mL bottles, Rx only,  Manufactured by: VistaPharm, Inc. Largo, FL 33771, NDC 66689-058-04</t>
  </si>
  <si>
    <t>18,456 bottles</t>
  </si>
  <si>
    <t>Failed Stability Specifications</t>
  </si>
  <si>
    <t>Lots #: 678900, 682000, 682400, Exp. 5/31/2022; 680600, 680800, 681000 Exp. 5/30/2022; 683200, 685200 Exp. 6/30/2022; 728900, 733100 Exp. Date 12/31/2022; 738600 Exp. 1/31/2023; 740600, 741600 Exp. 2/28/2023; 749800, 750900, 752400 Exp. 3/31/2023; 775700 Exp. 6/30/2023</t>
  </si>
  <si>
    <t>N0000175694</t>
  </si>
  <si>
    <t>M0002356</t>
  </si>
  <si>
    <t>Benzodiazepines [CS]</t>
  </si>
  <si>
    <t>Benzodiazepine [EPC]</t>
  </si>
  <si>
    <t>N0000182137</t>
  </si>
  <si>
    <t>N0000185506</t>
  </si>
  <si>
    <t>Cytochrome P450 2D6 Inhibitors [MoA]</t>
  </si>
  <si>
    <t>Cytochrome P450 3A4 Inducers [MoA]</t>
  </si>
  <si>
    <t>D-0099-2025</t>
  </si>
  <si>
    <t>Duloxetine Delayed-Release Capsules, USP, 20 mg, Rx only, 60 count bottles, Manufactured by: Aurobindo Pharma Limited, Hyderabad-500 090, India, For BluePoint Laboratories  NDC 68001-413-06</t>
  </si>
  <si>
    <t>37,916 bottles</t>
  </si>
  <si>
    <t>Lots: DT2023001A, DT2023009A, exp date Jan 31, 2025</t>
  </si>
  <si>
    <t>ANDA213803</t>
  </si>
  <si>
    <t>SUNITINIB MALATE</t>
  </si>
  <si>
    <t>42291-901</t>
  </si>
  <si>
    <t>0772f635-a03d-3c10-e063-6294a90a67ad</t>
  </si>
  <si>
    <t>0772eb61-ca42-39de-e063-6294a90a6632</t>
  </si>
  <si>
    <t>42291-901-28</t>
  </si>
  <si>
    <t>LVX8N1UT73</t>
  </si>
  <si>
    <t>D-0104-2025</t>
  </si>
  <si>
    <t>Sunitinib Malate Capsules, 25 mg, 28-count bottles, Rx Only, Manufactured for: AvKARE, Pulaski, TN 38478.  NDC 42291-902-28</t>
  </si>
  <si>
    <t>20 bottles</t>
  </si>
  <si>
    <t>Labeling: Label Mix-Up</t>
  </si>
  <si>
    <t>Lot #: 100049501, Exp. Date 07/31/2026</t>
  </si>
  <si>
    <t>42291-902</t>
  </si>
  <si>
    <t>42291-903</t>
  </si>
  <si>
    <t>42291-902-28</t>
  </si>
  <si>
    <t>42291-903-28</t>
  </si>
  <si>
    <t>42291-904-28</t>
  </si>
  <si>
    <t>42291-904</t>
  </si>
  <si>
    <t>0093-8199</t>
  </si>
  <si>
    <t>0093-8224</t>
  </si>
  <si>
    <t>0093-8229</t>
  </si>
  <si>
    <t>0093-8231</t>
  </si>
  <si>
    <t>D-1540-2022</t>
  </si>
  <si>
    <t>PROPOFOL Injectable Emulsion, 1 g/100 mL (10 mg/mL), packaged in 100 mL glass fliptop vial (NDC 0409-4699-54) further packaged in a tray of 10 vials (NDC Carton: 0409-4699-24), Rx only, Distributed by Hospira, Inc., Lake Forest, IL 60045 USA</t>
  </si>
  <si>
    <t>5,390 vials</t>
  </si>
  <si>
    <t>Presence of particulate matter</t>
  </si>
  <si>
    <t>Lot#: EA7470, Exp 6/1/2023</t>
  </si>
  <si>
    <t>Parsippany</t>
  </si>
  <si>
    <t>ANDA040422</t>
  </si>
  <si>
    <t>DEXTROAMPHETAMINE SACCHARATE, AMPHETAMINE ASPARTATE, DEXTROAMPHETAMINE SULFATE AND AMPHETAMINE SULFATE</t>
  </si>
  <si>
    <t>Teva Pharmaceuticals USA, Inc.</t>
  </si>
  <si>
    <t>0555-0775</t>
  </si>
  <si>
    <t>AMPHETAMINE ASPARTATE MONOHYDRATE</t>
  </si>
  <si>
    <t>88468f3d-7d03-4cee-aabf-3abc8c9b5e38</t>
  </si>
  <si>
    <t>cffbbb15-d776-41ae-a8a6-687f2c07bfa4</t>
  </si>
  <si>
    <t>0555-0971-02</t>
  </si>
  <si>
    <t>O1ZPV620O4</t>
  </si>
  <si>
    <t>Teva Pharmaceuticals USA</t>
  </si>
  <si>
    <t>400 Interpace Pkwy</t>
  </si>
  <si>
    <t>07054-1120</t>
  </si>
  <si>
    <t>Nationwide within the United State and Puerto Rico.</t>
  </si>
  <si>
    <t>D-1286-2020</t>
  </si>
  <si>
    <t>Dextroamphetamine Saccharate, Amphetamine Aspartate, Dextroamphetamine Sulfate and Amphetamine Sulfate Tablets ( Mixed Amphetamine Salts Product), 15 mg, 100 count bottles, Rx Only, Teva Pharmaceuticals USA, INC. North Wales, PA 19454, NDC 0555-0777-02</t>
  </si>
  <si>
    <t>41,348 bottles</t>
  </si>
  <si>
    <t>Some bottles may contain mixed strengths of the product.</t>
  </si>
  <si>
    <t>Lot #: 42617008, Exp. date 10/2021</t>
  </si>
  <si>
    <t>0555-0971</t>
  </si>
  <si>
    <t>0555-0972</t>
  </si>
  <si>
    <t>0555-0775-02</t>
  </si>
  <si>
    <t>0555-0972-02</t>
  </si>
  <si>
    <t>0555-0776-02</t>
  </si>
  <si>
    <t>0555-0777-02</t>
  </si>
  <si>
    <t>0555-0973-02</t>
  </si>
  <si>
    <t>0555-0974-02</t>
  </si>
  <si>
    <t>0555-0776</t>
  </si>
  <si>
    <t>0555-0777</t>
  </si>
  <si>
    <t>0555-0973</t>
  </si>
  <si>
    <t>0555-0974</t>
  </si>
  <si>
    <t>AMPHETAMINE SULFATE</t>
  </si>
  <si>
    <t>DEXTROAMPHETAMINE SACCHARATE</t>
  </si>
  <si>
    <t>6DPV8NK46S</t>
  </si>
  <si>
    <t>G83415V073</t>
  </si>
  <si>
    <t>DEXTROAMPHETAMINE SULFATE</t>
  </si>
  <si>
    <t>JJ768O327N</t>
  </si>
  <si>
    <t>Teva Pharmaceuticals USA Inc</t>
  </si>
  <si>
    <t>400 Interpace Pkwy Bldg A</t>
  </si>
  <si>
    <t>Nationwide in the US.</t>
  </si>
  <si>
    <t>D-1539-2022</t>
  </si>
  <si>
    <t>Dextroamphetamine Saccharate, Amphetamine Aspartate, Dextroamphetamine Sulfate and Amphetamine Sulfate Tablets (Mixed Salts of a Single Entity Amphetamine Product), 15 mg, Rx Only, 100 tablets per bottle, Teva Pharmaceuticals USA, Inc. North Wales, PA 19454, NDC 0555-0777-02.</t>
  </si>
  <si>
    <t>83,703 bottles</t>
  </si>
  <si>
    <t>Labeling: Label Error on Declared Strength; A sealed 100-count bottle labeled with 15 mg actually contained 100 tablets of 20 mg strength of the drug product.</t>
  </si>
  <si>
    <t>Lot #: 100023340, Exp 10/2024</t>
  </si>
  <si>
    <t>NDA208799</t>
  </si>
  <si>
    <t>AIRDUO DIGIHALER</t>
  </si>
  <si>
    <t>FLUTICASONE PROPIONATE AND SALMETEROL</t>
  </si>
  <si>
    <t>Teva Respiratory, LLC</t>
  </si>
  <si>
    <t>59310-129</t>
  </si>
  <si>
    <t>d1917d37-c04e-4cd3-84fa-ab7f61ef7b0b</t>
  </si>
  <si>
    <t>ac79cc13-4241-427c-a69b-6b00dafcef00</t>
  </si>
  <si>
    <t>59310-111-06</t>
  </si>
  <si>
    <t>D-0021-2022</t>
  </si>
  <si>
    <t>AirDuo Digihaler 113/14 (fluticasone propionate 113 mcg and salmeterol 14 mcg) Inhalation Powder, Sample Not For Sale, Rx Only, Mktd by: Teva Respiratory, LLC , Frazer, PA 19355, Manufactured in Ireland,  NDC 59310-520-08</t>
  </si>
  <si>
    <t>10,665 inhalers</t>
  </si>
  <si>
    <t>Subpotent drug: OOS results of Label Claimed Emitted Dose for salmeterol</t>
  </si>
  <si>
    <t>AFR17A</t>
  </si>
  <si>
    <t>59310-111</t>
  </si>
  <si>
    <t>59310-136</t>
  </si>
  <si>
    <t>59310-129-06</t>
  </si>
  <si>
    <t>59310-136-06</t>
  </si>
  <si>
    <t>59310-510-08</t>
  </si>
  <si>
    <t>59310-520-08</t>
  </si>
  <si>
    <t>59310-530-08</t>
  </si>
  <si>
    <t>59310-510</t>
  </si>
  <si>
    <t>59310-520</t>
  </si>
  <si>
    <t>59310-530</t>
  </si>
  <si>
    <t>Fresno</t>
  </si>
  <si>
    <t>Generitech Corporation</t>
  </si>
  <si>
    <t>4967 E Lansing Way</t>
  </si>
  <si>
    <t>93727-7408</t>
  </si>
  <si>
    <t>D-0111-2025</t>
  </si>
  <si>
    <t>10 Irregular Pigmentation, Accelerator, Pigment Fading Activator, Only Your Rx, Nature + Science, 1 fl. oz., 30 mL Bottle, For Professional Use Only, Only YourRx Inc., Chatsworth, CA 91311, Made in USA, Onlyyourrx.com.</t>
  </si>
  <si>
    <t>77.5lbs</t>
  </si>
  <si>
    <t>CGMP Deviations: Inconsistency in the water systems.</t>
  </si>
  <si>
    <t>Lot #: 2400017, Exp: 4/30/2026</t>
  </si>
  <si>
    <t>Plainsboro</t>
  </si>
  <si>
    <t>ANDA202289</t>
  </si>
  <si>
    <t>LOSARTAN POTASSIUM AND HYDROCHLOROTHIAZIDE</t>
  </si>
  <si>
    <t>Macleods Pharmaceuticals Limited</t>
  </si>
  <si>
    <t>33342-050</t>
  </si>
  <si>
    <t>6e1eca59-3423-4834-89c7-e776c53e53da</t>
  </si>
  <si>
    <t>a04b5622-2c49-4d61-92b1-5dc523af7a24</t>
  </si>
  <si>
    <t>33342-050-07</t>
  </si>
  <si>
    <t>Macleods Pharma Usa Inc</t>
  </si>
  <si>
    <t>666 Plainsboro Rd Bldg 200 Ste 230</t>
  </si>
  <si>
    <t>08536-0009</t>
  </si>
  <si>
    <t>Product was distributed nationwide.</t>
  </si>
  <si>
    <t>D-0836-2022</t>
  </si>
  <si>
    <t>Losartan Potassium &amp; Hydrochlorothiazide Tablets, USP, 100 mg/25 mg, a) 30-count bottles (NDC# 33342-052-07), b) 90-count bottles (NDC # 33342-052-10)  c) 1000-count bottles (NDC # 33342-052-44), Rx Only, MFR: Macleods Pharma USA, Inc. Plainsboro, NJ 08536</t>
  </si>
  <si>
    <t>CGMP Deviations- AZIDO Impurity levels observed to be above acceptable limits</t>
  </si>
  <si>
    <t>Lot #   BLM2106B, exp. date 05/2023  BLM2101A, exp. date 01/2025  BLM2102A, exp. date 02/2023  BLM2106A, exp. date 05/2023  BLM2103B, exp. date 02/2023  BLM2104A, exp. date 05/2023  BLM2110A, exp. date 06/2023</t>
  </si>
  <si>
    <t>33342-051</t>
  </si>
  <si>
    <t>33342-052</t>
  </si>
  <si>
    <t>33342-050-10</t>
  </si>
  <si>
    <t>33342-050-44</t>
  </si>
  <si>
    <t>33342-050-12</t>
  </si>
  <si>
    <t>33342-051-07</t>
  </si>
  <si>
    <t>33342-051-10</t>
  </si>
  <si>
    <t>33342-051-44</t>
  </si>
  <si>
    <t>33342-051-12</t>
  </si>
  <si>
    <t>33342-052-07</t>
  </si>
  <si>
    <t>33342-052-10</t>
  </si>
  <si>
    <t>33342-052-44</t>
  </si>
  <si>
    <t>33342-052-12</t>
  </si>
  <si>
    <t>LOSARTAN POTASSIUM</t>
  </si>
  <si>
    <t>3ST302B24A</t>
  </si>
  <si>
    <t>Waltham</t>
  </si>
  <si>
    <t>NDA020171</t>
  </si>
  <si>
    <t>DELFLEX</t>
  </si>
  <si>
    <t>DEXTROSE MONOHYDRATE, SODIUM CHLORIDE, SODIUM LACTATE, CALCIUM CHLORIDE, MAGNESIUM CHLORIDE</t>
  </si>
  <si>
    <t>Fresenius Medical Care North America</t>
  </si>
  <si>
    <t>49230-206</t>
  </si>
  <si>
    <t>INTRAPERITONEAL</t>
  </si>
  <si>
    <t>CALCIUM CHLORIDE</t>
  </si>
  <si>
    <t>26cdf03c-19f3-42e1-e063-6394a90a2fd0</t>
  </si>
  <si>
    <t>bbc5b820-4973-11e2-a192-0002a5d5c51b</t>
  </si>
  <si>
    <t>49230-206-20</t>
  </si>
  <si>
    <t>M4I0D6VV5M</t>
  </si>
  <si>
    <t>920 Winter St Bld 950</t>
  </si>
  <si>
    <t>02451-1521</t>
  </si>
  <si>
    <t>D-0610-2021</t>
  </si>
  <si>
    <t>DELFLEX Peritoneal Dialysis Solution with 1.5% Dextrose, Low magnesium, Low Calcium, packaged in a) 3000 mL bags (NDC 49230-206-30)  and b) 5000mL bags, 2 packs (NDC 49230-206-50), Rx only, Fresenius Medical Care NA, Waltham, MA 02451</t>
  </si>
  <si>
    <t>285 cases</t>
  </si>
  <si>
    <t>Temperature Abuse: Product exposed to temperature outside specified limits.</t>
  </si>
  <si>
    <t>Lot #: a) 20SU03060, Exp Date. July 2022; b) 21AU02015, 21AU02038, Exp. Date August 2022</t>
  </si>
  <si>
    <t>49230-209</t>
  </si>
  <si>
    <t>49230-212</t>
  </si>
  <si>
    <t>49230-206-30</t>
  </si>
  <si>
    <t>49230-206-32</t>
  </si>
  <si>
    <t>49230-206-50</t>
  </si>
  <si>
    <t>49230-206-60</t>
  </si>
  <si>
    <t>49230-206-62</t>
  </si>
  <si>
    <t>49230-206-52</t>
  </si>
  <si>
    <t>49230-209-23</t>
  </si>
  <si>
    <t>49230-209-30</t>
  </si>
  <si>
    <t>49230-209-32</t>
  </si>
  <si>
    <t>49230-209-50</t>
  </si>
  <si>
    <t>49230-209-60</t>
  </si>
  <si>
    <t>49230-209-62</t>
  </si>
  <si>
    <t>49230-209-52</t>
  </si>
  <si>
    <t>49230-212-23</t>
  </si>
  <si>
    <t>49230-212-30</t>
  </si>
  <si>
    <t>49230-212-32</t>
  </si>
  <si>
    <t>49230-212-50</t>
  </si>
  <si>
    <t>49230-212-60</t>
  </si>
  <si>
    <t>49230-212-62</t>
  </si>
  <si>
    <t>49230-212-52</t>
  </si>
  <si>
    <t>DEXTROSE MONOHYDRATE</t>
  </si>
  <si>
    <t>MAGNESIUM CHLORIDE</t>
  </si>
  <si>
    <t>LX22YL083G</t>
  </si>
  <si>
    <t>02F3473H9O</t>
  </si>
  <si>
    <t>SODIUM CHLORIDE</t>
  </si>
  <si>
    <t>451W47IQ8X</t>
  </si>
  <si>
    <t>SODIUM LACTATE</t>
  </si>
  <si>
    <t>TU7HW0W0QT</t>
  </si>
  <si>
    <t>D-0088-2025</t>
  </si>
  <si>
    <t>boardwalk ANTIBACTERIAL HANDSOAP REFILL, Chloroxylenol 0.1%, 1 gal. (3.78 L), Manufactured for Essendant Co., One Parkway North, Deerfield, IL 60015</t>
  </si>
  <si>
    <t>Richmond</t>
  </si>
  <si>
    <t>NDA019430</t>
  </si>
  <si>
    <t>EPIPEN</t>
  </si>
  <si>
    <t>EPINEPHRINE</t>
  </si>
  <si>
    <t>Mylan Specialty L.P.</t>
  </si>
  <si>
    <t>49502-500</t>
  </si>
  <si>
    <t>2431ada0-9e96-491f-a281-ffd56e21fbba</t>
  </si>
  <si>
    <t>7560c201-9246-487c-a13b-6295db04274a</t>
  </si>
  <si>
    <t>49502-500-01</t>
  </si>
  <si>
    <t>YKH834O4BH</t>
  </si>
  <si>
    <t>Mckesson Medical-Surgical Inc. Corporate Office</t>
  </si>
  <si>
    <t>9954 Maryland Drive</t>
  </si>
  <si>
    <t>Deep Run Iii Ste. 4000</t>
  </si>
  <si>
    <t>USA nationwide.</t>
  </si>
  <si>
    <t>D-0993-2022</t>
  </si>
  <si>
    <t>EPI-PEN 2-PAK (epinephrine injection, USP), Single-Dose Auto-Injectors 0.3 mg, Rx only, Manufactured for: Mylan Specialty LP., NDC 49502-500-02</t>
  </si>
  <si>
    <t>5 cartons</t>
  </si>
  <si>
    <t>cGMP deviations: Temperature abuse</t>
  </si>
  <si>
    <t>McKesson Medical-Surgical (MMS) is not able to identify the particular lot number received by a particular consignee for the recalled prescription products. Each letter includes the date it was distributed to customers and the dates that impacted product may have been shipped to the customer.     The letters clearly explain that consignees should identify product received from MMS between June 1 and September 30, 2021. A consignee should be able to use its own records to determine whether it received an impacted product from MMS during that timeframe and whether it still has any of that product in inventory. The recall notification letter informs consignees that they may contact Sedgwick if they have any questions.</t>
  </si>
  <si>
    <t>49502-501</t>
  </si>
  <si>
    <t>49502-500-02</t>
  </si>
  <si>
    <t>49502-500-92</t>
  </si>
  <si>
    <t>49502-501-01</t>
  </si>
  <si>
    <t>49502-501-02</t>
  </si>
  <si>
    <t>49502-501-92</t>
  </si>
  <si>
    <t>N0000000209</t>
  </si>
  <si>
    <t>N0000000245</t>
  </si>
  <si>
    <t>Catecholamines [CS]</t>
  </si>
  <si>
    <t>alpha-Adrenergic Agonist [EPC]</t>
  </si>
  <si>
    <t>N0000175552</t>
  </si>
  <si>
    <t>N0000175555</t>
  </si>
  <si>
    <t>Adrenergic alpha-Agonists [MoA]</t>
  </si>
  <si>
    <t>beta-Adrenergic Agonist [EPC]</t>
  </si>
  <si>
    <t>Adrenergic beta-Agonists [MoA]</t>
  </si>
  <si>
    <t>N0000175570</t>
  </si>
  <si>
    <t>M0003647</t>
  </si>
  <si>
    <t>Catecholamine [EPC]</t>
  </si>
  <si>
    <t>D-0093-2025</t>
  </si>
  <si>
    <t>Diltiazem Hydrochloride Extended-Release Capsules, USP 60 mg, Twice-a-Day Dosage, Rx Only, 100 Capsules per bottle, Manufactured for: Glenmark Pharmaceuticals Inc., USA Mahwah, NJ 07430, Product of India, NDC 68462-850-01.</t>
  </si>
  <si>
    <t>34848 bottles</t>
  </si>
  <si>
    <t>Lot #s: 17222544, Exp. Date 11/30/2024 ; 17230784, Exp Date 03/31/2025; 17231080, Exp. Date 04/30/2025</t>
  </si>
  <si>
    <t>Dublin</t>
  </si>
  <si>
    <t>ANDA205209</t>
  </si>
  <si>
    <t>DARIFENACIN</t>
  </si>
  <si>
    <t>Torrent Pharmaceuticals Limited</t>
  </si>
  <si>
    <t>13668-202</t>
  </si>
  <si>
    <t>DARIFENACIN HYDROBROMIDE</t>
  </si>
  <si>
    <t>47ec85f7-660e-43dc-b84e-452556ad62c7</t>
  </si>
  <si>
    <t>e84f1ae3-b9a2-4a15-a299-c75373891cc1</t>
  </si>
  <si>
    <t>13668-202-30</t>
  </si>
  <si>
    <t>CR02EYQ8GV</t>
  </si>
  <si>
    <t>Cardinal Health Inc.</t>
  </si>
  <si>
    <t>7000 Cardinal Pl</t>
  </si>
  <si>
    <t>43017-1091</t>
  </si>
  <si>
    <t>FL, GA, SC</t>
  </si>
  <si>
    <t>D-0583-2021</t>
  </si>
  <si>
    <t>Darifenacin Extended-release Tablets 7.5 mg 30 Tablets Rx only Manufactured by: Torrent Pharmaceuticals LTD. Indrad-382 721, India Manufactured for: Torrent Pharma Inc. Basking Ridge, NJ 07920, NDC 13668-202-30</t>
  </si>
  <si>
    <t>52 bottles</t>
  </si>
  <si>
    <t>CGMP Deviations: Intermittent exposure to temperature excursion during storage.</t>
  </si>
  <si>
    <t>BDZ7G005</t>
  </si>
  <si>
    <t>13668-203</t>
  </si>
  <si>
    <t>13668-202-90</t>
  </si>
  <si>
    <t>13668-202-05</t>
  </si>
  <si>
    <t>13668-203-30</t>
  </si>
  <si>
    <t>13668-203-05</t>
  </si>
  <si>
    <t>13668-203-90</t>
  </si>
  <si>
    <t>D-0062-2025</t>
  </si>
  <si>
    <t>ABSORBINE jr. Extra Large BACK PATCH, Menthol 5%, 1 extra large patch per box, Distributed By: Absorbine Jr., LLC, Chattanooga, TN 37402 UPC 8 89476 41218 6, UPC 8 89476 41236 0</t>
  </si>
  <si>
    <t>6,848,820 patches</t>
  </si>
  <si>
    <t>UPC 8 89476 41218 6, UPC 8 89476 41236 0</t>
  </si>
  <si>
    <t>Bayer HealthCare LLC</t>
  </si>
  <si>
    <t>11523-0165</t>
  </si>
  <si>
    <t>289de908-7bde-ace6-e063-6294a90a2080</t>
  </si>
  <si>
    <t>bb878f31-2189-4427-aacf-5bce96d75978</t>
  </si>
  <si>
    <t>11523-0165-3</t>
  </si>
  <si>
    <t>D-0251-2022</t>
  </si>
  <si>
    <t>Tinactin (Tolnaftate 1%) LIQUID SPRAY NET WT150g (5.3 OZ) can,  Labeled as (a) Product of Finland 20006101, (b) Product of Ireland 87022897, Dist by: Bayer Healthcare LLC, Whippany, NJ 07981,  UPC 3 11017 41005 9, NDC 11523-0165-3.</t>
  </si>
  <si>
    <t>4,990,860 cans</t>
  </si>
  <si>
    <t>Lot # (a)TN006MX, EXP 10/31/2022; TN00BKV, TN008D1, TN008D2, EXP 3/31/2023;  (b) CV0180B, EXP12/31/2021; TN003C5, EXP 1/31/2023</t>
  </si>
  <si>
    <t>D-0094-2025</t>
  </si>
  <si>
    <t>Diltiazem Hydrochloride Extended-Release Capsules, USP 90 mg, Rx Only, 100 Capsules, Manufactured for : Glenmark Pharmaceuticals Inc., USA Mahwah, NJ 07430, Product of India, NDC 68462-851-01.</t>
  </si>
  <si>
    <t>12,864 bottles</t>
  </si>
  <si>
    <t>Lot #s 17222452, Exp. Date, 11/30/2024; 17230607, Exp. Date 02/28/2025</t>
  </si>
  <si>
    <t>NDA021514</t>
  </si>
  <si>
    <t>DAYTRANA</t>
  </si>
  <si>
    <t>METHYLPHENIDATE</t>
  </si>
  <si>
    <t>68968-5552</t>
  </si>
  <si>
    <t>f0b85613-40fb-4ecb-a629-b40fc28cf112</t>
  </si>
  <si>
    <t>2c312c31-3198-4775-91ab-294e0b4b9e7f</t>
  </si>
  <si>
    <t>68968-5552-3</t>
  </si>
  <si>
    <t>207ZZ9QZ49</t>
  </si>
  <si>
    <t>Noven Pharmaceuticals, Inc.</t>
  </si>
  <si>
    <t>11960 SW 144th St</t>
  </si>
  <si>
    <t>Nationwide within the US</t>
  </si>
  <si>
    <t>D-0429-2017</t>
  </si>
  <si>
    <t>Daytrana (methylphenidate transdermal system) Transdermal Patch, 20 mg over 9 hours (2.2 mg/hr), packaged in 30-count patches per box, Rx only, Manufactured by Noven Therapeutics, LLC, Miami, FL 33186; By Noven Pharmaceuticals, Inc., Miami, FL 33186, NDC 68968-5554-3.</t>
  </si>
  <si>
    <t>364,830 patches</t>
  </si>
  <si>
    <t>Defective Delivery System: Out of Specification (OOS) results for the mechanical peel force (MPF) and and/or the z-statistic values.</t>
  </si>
  <si>
    <t>Lot #: 79230, Exp. 02/2017; 77547, Exp.07/2016</t>
  </si>
  <si>
    <t>68968-5553</t>
  </si>
  <si>
    <t>68968-5554</t>
  </si>
  <si>
    <t>68968-5553-3</t>
  </si>
  <si>
    <t>68968-5554-3</t>
  </si>
  <si>
    <t>68968-5555-3</t>
  </si>
  <si>
    <t>68968-5555</t>
  </si>
  <si>
    <t>N0000175739</t>
  </si>
  <si>
    <t>N0000175729</t>
  </si>
  <si>
    <t>Central Nervous System Stimulant [EPC]</t>
  </si>
  <si>
    <t>Central Nervous System Stimulation [PE]</t>
  </si>
  <si>
    <t>D-0084-2025</t>
  </si>
  <si>
    <t>PeakMax Capsules, 500 mg, packaged in 10 count blisters in cartons, Distributed by: PeakMax, San Francisco, CA, www.PeakMax.com</t>
  </si>
  <si>
    <t>D-0249-2022</t>
  </si>
  <si>
    <t>Lotrimin AF (Tolnaftate 1%) Daily Prevention deodorant powder spray, NET WT 160g (5.6 OZ) can, Dist by: Bayer Healthcare LLC, Whippany, NJ 07981, Product of Finland,   UPC 0 41100 58720 6, NDC 11523-0010-2.</t>
  </si>
  <si>
    <t>Lot # TN0023D, EXP 2/28/2022;  TN004BX, EXP 6/30/2022;</t>
  </si>
  <si>
    <t>D-0428-2017</t>
  </si>
  <si>
    <t>Daytrana (methylphenidate transdermal system) Transdermal Patch, 10 mg over 9 hours (1.1mg/hr), packaged in- 30 count per box, Rx only, Manufactured by Noven Therapeutics, LLC, Miami, FL 33186; By Noven Pharmaceuticals, Inc, Miami, FL 33186,  NDC 68968-5552-3</t>
  </si>
  <si>
    <t>1,068,600 patches</t>
  </si>
  <si>
    <t>Lot #:  77545, Exp.07/2016; 78035, Exp. 08/2016; 78367, Exp. 10/2016;  79919, Exp. 03/2017.</t>
  </si>
  <si>
    <t>D-0085-2025</t>
  </si>
  <si>
    <t>ZoomMax Capsules, 500 mg, 10 count blisters in cartons, Distributed by: ZoomMax, 2108 N St. Sacramento, CA 95816, www.zoommax.com</t>
  </si>
  <si>
    <t>Lot #: YZM240406, Exp: 04/05/2027</t>
  </si>
  <si>
    <t>NDA021929</t>
  </si>
  <si>
    <t>BUDESONIDE AND FORMOTEROL FUMARATE DIHYDRATE</t>
  </si>
  <si>
    <t>AstraZeneca Pharmaceuticals LP</t>
  </si>
  <si>
    <t>0310-7370</t>
  </si>
  <si>
    <t>BUDESONIDE</t>
  </si>
  <si>
    <t>dd03d461-e832-4b70-a540-a70fbbfd87f9</t>
  </si>
  <si>
    <t>1d266fe8-52e3-4f85-a037-c5c1afa15e60</t>
  </si>
  <si>
    <t>0310-7370-20</t>
  </si>
  <si>
    <t>W34SHF8J2K</t>
  </si>
  <si>
    <t>D-0561-2021</t>
  </si>
  <si>
    <t>Budesonide and Formoterol Fumarate Dihydrate Inhalation Aerosol 80/4.5 budesonide 80 mcg/formoterol fumarate dihydrate 4.5 mcg Inhalation Aerosol 120 inhalations Rx only Manufactured for: AstraZeneca Pharmaceuticals LP, Wilmington, DE 19850, NDC 0310-7372-20</t>
  </si>
  <si>
    <t>905 inhalers</t>
  </si>
  <si>
    <t>2000655C00</t>
  </si>
  <si>
    <t>0310-7372</t>
  </si>
  <si>
    <t>0310-7372-20</t>
  </si>
  <si>
    <t>N0000175576</t>
  </si>
  <si>
    <t>N0000175450</t>
  </si>
  <si>
    <t>Corticosteroid [EPC]</t>
  </si>
  <si>
    <t>FORMOTEROL FUMARATE</t>
  </si>
  <si>
    <t>Q3OKS62Q6X</t>
  </si>
  <si>
    <t>Corticosteroid Hormone Receptor Agonists [MoA]</t>
  </si>
  <si>
    <t>D-0079-2025</t>
  </si>
  <si>
    <t>Cinacalcet Tablets, 90 mg, packaged in: a) 30-count HDPE bottle (NDC 65862-833-30), b) 500-count HDPE bottle (NDC 65862-833-05), Rx Only, Distributed by: Aurobindo Pharma USA, Inc. 279 Princeton-Hightstown Road, East Windsor, NJ 08520, Made in India.  90 mg - 30 Tablets - NDC 65862-833-30 90 mg - 500 Tablets - NDC 65862-833-05</t>
  </si>
  <si>
    <t>Lot #: a) CFSC23001A, CFSC23001B, Exp 03/31/2025; b) P2300195, Exp 12/31/2024</t>
  </si>
  <si>
    <t>Warren</t>
  </si>
  <si>
    <t>NDA020402</t>
  </si>
  <si>
    <t>ADVIL</t>
  </si>
  <si>
    <t>IBUPROFEN</t>
  </si>
  <si>
    <t>0573-1769</t>
  </si>
  <si>
    <t>e73468b1-b150-4460-af62-5af281dc562b</t>
  </si>
  <si>
    <t>1f01c10a-9434-91a4-2ee4-352315a6b610</t>
  </si>
  <si>
    <t>0573-0169-17</t>
  </si>
  <si>
    <t>WK2XYI10QM</t>
  </si>
  <si>
    <t>Glaxosmithkline Consumer Healthcare Holdings</t>
  </si>
  <si>
    <t>184 Liberty Corner Rd</t>
  </si>
  <si>
    <t>07059-6796</t>
  </si>
  <si>
    <t>Product was distributed throughout the United States, including Puerto Rico.</t>
  </si>
  <si>
    <t>D-1066-2020</t>
  </si>
  <si>
    <t>Ibuprofen 200 mg liquid filled capsules  Advil Liqui-Gel Minis, 160 count bottle  NDC 0573-1769-89  NDC 0573-1769-95</t>
  </si>
  <si>
    <t>446,628 bottles</t>
  </si>
  <si>
    <t>Labeling: Lacks Warning or Rx Legend- Certain lots does not include required safety warning information in the Drug Facts Panel.</t>
  </si>
  <si>
    <t>Batch/Lot Numbers:  R53074, exp. date 10/31/2020, item # F00573176989, 160 ct.   R53075, exp. date 10/31/2020, item # F00573176989, 160 ct.   R53076, exp. date 11/30/2020, item # F00573176989, 160 ct.  R53077, exp. date 11/30/2020, item # F00573176989, 160 ct.  R53081, exp. date 11/30/2020, item # F00573176989, 160 ct.  R53901, exp. date 02/28/2021, item # F00573176989, 160 ct.  R53902, exp. date 03/31/2021, item # F00573176989, 160 ct.  R62780, exp. date 06/30/2021, item # F00573176989, 160 ct.</t>
  </si>
  <si>
    <t>0573-0169</t>
  </si>
  <si>
    <t>0573-0149</t>
  </si>
  <si>
    <t>0573-0169-02</t>
  </si>
  <si>
    <t>0573-0169-19</t>
  </si>
  <si>
    <t>0573-0169-20</t>
  </si>
  <si>
    <t>0573-0169-40</t>
  </si>
  <si>
    <t>0573-0169-11</t>
  </si>
  <si>
    <t>0573-0169-89</t>
  </si>
  <si>
    <t>0573-0169-30</t>
  </si>
  <si>
    <t>0573-0169-31</t>
  </si>
  <si>
    <t>0573-0169-86</t>
  </si>
  <si>
    <t>0573-0169-51</t>
  </si>
  <si>
    <t>0573-0169-43</t>
  </si>
  <si>
    <t>0573-0169-49</t>
  </si>
  <si>
    <t>0573-0169-52</t>
  </si>
  <si>
    <t>0573-0169-08</t>
  </si>
  <si>
    <t>0573-0169-22</t>
  </si>
  <si>
    <t>0573-0169-13</t>
  </si>
  <si>
    <t>0573-0169-76</t>
  </si>
  <si>
    <t>0573-0149-13</t>
  </si>
  <si>
    <t>0573-0149-04</t>
  </si>
  <si>
    <t>N0000000160</t>
  </si>
  <si>
    <t>M0001335</t>
  </si>
  <si>
    <t>Anti-Inflammatory Agents, Non-Steroidal [CS]</t>
  </si>
  <si>
    <t>Nonsteroidal Anti-inflammatory Drug [EPC]</t>
  </si>
  <si>
    <t>0573-0149-66</t>
  </si>
  <si>
    <t>0573-0149-91</t>
  </si>
  <si>
    <t>0573-1769-20</t>
  </si>
  <si>
    <t>0573-1769-80</t>
  </si>
  <si>
    <t>N0000175722</t>
  </si>
  <si>
    <t>0573-1769-89</t>
  </si>
  <si>
    <t>0573-1769-14</t>
  </si>
  <si>
    <t>0573-1769-13</t>
  </si>
  <si>
    <t>0573-1769-09</t>
  </si>
  <si>
    <t>0573-1769-02</t>
  </si>
  <si>
    <t>0573-1769-95</t>
  </si>
  <si>
    <t>Cyclooxygenase Inhibitors [MoA]</t>
  </si>
  <si>
    <t>26d12d04-31c5-1506-e063-6394a90ae5a1</t>
  </si>
  <si>
    <t>c29bdfa0-4976-11e2-939b-0002a5d5c51b</t>
  </si>
  <si>
    <t>49230-206-92</t>
  </si>
  <si>
    <t>D-0608-2021</t>
  </si>
  <si>
    <t>DELFLEX Peritoneal Dialysis Solution with 2.5% Dextrose, Low magnesium, Low Calcium and attached stay safe Exchange set, packaged in a) 2500 mL  (NDC 49230-209-94) and b) 2000mL, packs of 5 (NDC 49230-209-92) Fresenius Medical Care NA, Waltham, MA 02451,</t>
  </si>
  <si>
    <t>39 cases</t>
  </si>
  <si>
    <t>Lot #: a) 20PU02010, Exp. date June 2022 and b) 20SU04033, Exp. date July 2022</t>
  </si>
  <si>
    <t>49230-206-94</t>
  </si>
  <si>
    <t>49230-206-95</t>
  </si>
  <si>
    <t>49230-209-92</t>
  </si>
  <si>
    <t>49230-209-94</t>
  </si>
  <si>
    <t>49230-209-95</t>
  </si>
  <si>
    <t>49230-212-92</t>
  </si>
  <si>
    <t>49230-212-94</t>
  </si>
  <si>
    <t>49230-212-95</t>
  </si>
  <si>
    <t>D-0106-2025</t>
  </si>
  <si>
    <t>Duloxetine Delayed-Release Capsules USP, 30 mg, a) 30 count (NDC 57237-018-30), b) 90 count (NDC 57237-018-90) and c) 1000 count (NDC 57237-018-99) bottles, Rx only, Distributed by: Rising Pharma Holdings, Inc., East Brunswick, NJ</t>
  </si>
  <si>
    <t>122,925 bottles</t>
  </si>
  <si>
    <t>a) 30s; DT3023019A, exp. date Jan-25 DT3023050A, exp. date Apr-25;  b) 90s; DT3023022A, exp. date Jan-25;  c) 1000s; DT3022108A, DT3022107A, DT3022106A, DT3022111A, DT3022109A, exp. date Nov-24, DT3023001A, DT3023003A, exp. date Dec-24, DT3023024A, DT3023020B, exp. date Jan-25 DT3023027A, DT3023028A, exp. date Feb-25, DT3023034A, exp. date Mar-25, DT3023049A, exp. date Apr-25, DT3023095A, exp. date Jul-25</t>
  </si>
  <si>
    <t>ANDA206512</t>
  </si>
  <si>
    <t>65862-737</t>
  </si>
  <si>
    <t>909d72a6-7116-407e-8ec8-77b9b5798237</t>
  </si>
  <si>
    <t>7fa25f10-29e0-4162-81a8-9d2e03054ded</t>
  </si>
  <si>
    <t>65862-737-30</t>
  </si>
  <si>
    <t>Aurobindo Pharma USA Inc.</t>
  </si>
  <si>
    <t>Product was distributed to 25 distributors and Retail Chains who may have further distributed the product throughout the United States.</t>
  </si>
  <si>
    <t>D-0363-2019</t>
  </si>
  <si>
    <t>Amlodipine and Valsartan Tablets USP 5 mg/320 mg, 30-count bottles, Rx Only, Manufactured for: Aurobindo Pharma USA, Inc., Dayton, NJ 08810. NDC 65862-738-30.</t>
  </si>
  <si>
    <t>27,688 bottles</t>
  </si>
  <si>
    <t>CGMP Deviations: FDA lab confirmed presence an impurity, N-nitrosodimethylamine (NDEA) contained in the API used to manufacture the product above the interim acceptable daily intake level of 0.083 parts per million.</t>
  </si>
  <si>
    <t>Lot # VMSA17012-A, exp. date 11/2019  Lot # VMSA17013-A, exp. date 11/2019  Lot # VMSA17014-A, exp. date 11/2019  Lot # VMSA17015-A, exp. date 11/2019  Lot # VMSA17016-A, exp. date 11/2019  Lot # VMSA17017-A, exp. date 11/2019</t>
  </si>
  <si>
    <t>65862-739</t>
  </si>
  <si>
    <t>65862-738</t>
  </si>
  <si>
    <t>65862-737-90</t>
  </si>
  <si>
    <t>65862-737-10</t>
  </si>
  <si>
    <t>65862-737-03</t>
  </si>
  <si>
    <t>65862-739-30</t>
  </si>
  <si>
    <t>65862-739-90</t>
  </si>
  <si>
    <t>65862-739-10</t>
  </si>
  <si>
    <t>65862-739-03</t>
  </si>
  <si>
    <t>65862-738-30</t>
  </si>
  <si>
    <t>65862-738-90</t>
  </si>
  <si>
    <t>65862-738-10</t>
  </si>
  <si>
    <t>65862-738-03</t>
  </si>
  <si>
    <t>65862-740</t>
  </si>
  <si>
    <t>65862-740-30</t>
  </si>
  <si>
    <t>65862-740-90</t>
  </si>
  <si>
    <t>65862-740-10</t>
  </si>
  <si>
    <t>65862-740-03</t>
  </si>
  <si>
    <t>M018</t>
  </si>
  <si>
    <t>GENTEAL</t>
  </si>
  <si>
    <t>MINERAL OIL, WHITE PETROLATUM</t>
  </si>
  <si>
    <t>Alcon Laboratories, Inc.</t>
  </si>
  <si>
    <t>0065-0518</t>
  </si>
  <si>
    <t>OPHTHALMIC</t>
  </si>
  <si>
    <t>MINERAL OIL</t>
  </si>
  <si>
    <t>d09a2d41-4976-47b8-827c-5082741f83b4</t>
  </si>
  <si>
    <t>9d5998a7-4f59-4293-87da-8419650a524d</t>
  </si>
  <si>
    <t>0065-0518-01</t>
  </si>
  <si>
    <t>T5L8T28FGP</t>
  </si>
  <si>
    <t>Nationwide in the USA.</t>
  </si>
  <si>
    <t>D-1320-2022</t>
  </si>
  <si>
    <t>GenTeal Tears, Lubricant Eye Ointment, Night-Time Ointment, Sterile, 3.5 gm (0.12 FL OZ) per box, Alcon, NDC 0065-0518-01.</t>
  </si>
  <si>
    <t>40 boxes</t>
  </si>
  <si>
    <t>CGMP Deviations: products were stored outside the drug label specifications.</t>
  </si>
  <si>
    <t>Part# 30065051801</t>
  </si>
  <si>
    <t>PETROLATUM</t>
  </si>
  <si>
    <t>4T6H12BN9U</t>
  </si>
  <si>
    <t>ANDA201049</t>
  </si>
  <si>
    <t>PIOGLITAZONE HYDROCHLORIDE AND GLIMEPIRIDE</t>
  </si>
  <si>
    <t>Sandoz Inc</t>
  </si>
  <si>
    <t>0781-5634</t>
  </si>
  <si>
    <t>GLIMEPIRIDE</t>
  </si>
  <si>
    <t>724cb72e-023e-409c-8979-3a380a2fdc0a</t>
  </si>
  <si>
    <t>2aab19ce-1e5e-44ee-85e5-d8f125f9bb1a</t>
  </si>
  <si>
    <t>0781-5634-31</t>
  </si>
  <si>
    <t>JQT35NPK6C</t>
  </si>
  <si>
    <t>100 College Rd W</t>
  </si>
  <si>
    <t>08540-6604</t>
  </si>
  <si>
    <t>D-0515-2017</t>
  </si>
  <si>
    <t>Pioglitazone and Glimepiride Tablets, USP, 30 mg/4 mg, 30 count bottles, Rx only, Manufactured by Lek Pharmaceuticals d.d., Verovskova Ulica 57, Ljubljana, - SI-1526, Slovenia ---  NDC 0781-5635-31</t>
  </si>
  <si>
    <t>Failed Dissolution Specifications</t>
  </si>
  <si>
    <t>Lot FY3669 with expiry 11/2017</t>
  </si>
  <si>
    <t>0781-5635</t>
  </si>
  <si>
    <t>0781-5634-10</t>
  </si>
  <si>
    <t>0781-5635-31</t>
  </si>
  <si>
    <t>0781-5635-10</t>
  </si>
  <si>
    <t>N0000175608</t>
  </si>
  <si>
    <t>M0020795</t>
  </si>
  <si>
    <t>Sulfonylurea Compounds [CS]</t>
  </si>
  <si>
    <t>Sulfonylurea [EPC]</t>
  </si>
  <si>
    <t>PIOGLITAZONE HYDROCHLORIDE</t>
  </si>
  <si>
    <t>6KY687524K</t>
  </si>
  <si>
    <t>D-0063-2025</t>
  </si>
  <si>
    <t>ABSORBINE jr ULTRA STRENGTH PAIN PATCH, Menthol 6.5%, 1 patch per box, Distributed By: Absorbine Jr. LLC, Chattanooga, TN 37402 UPC 8 89476 41318 3, UPC 8 89476 41336 7</t>
  </si>
  <si>
    <t>4,968,000 patches</t>
  </si>
  <si>
    <t>UPC 8 89476 41318 3, UPC 8 89476 41336 7</t>
  </si>
  <si>
    <t>Vadodara</t>
  </si>
  <si>
    <t>ANDA090579</t>
  </si>
  <si>
    <t>AMPICILLIN AND SULBACTAM</t>
  </si>
  <si>
    <t>AMPICILLIN SODIUM AND SULBACTAM SODIUM</t>
  </si>
  <si>
    <t>Xellia Pharmaceuticals USA LLC</t>
  </si>
  <si>
    <t>70594-081</t>
  </si>
  <si>
    <t>AMPICILLIN SODIUM</t>
  </si>
  <si>
    <t>ec431dfa-fe17-4e43-acf9-60eee408cc6b</t>
  </si>
  <si>
    <t>7161f386-6373-4db5-8dfd-d7ddf38ec2f1</t>
  </si>
  <si>
    <t>70594-081-01</t>
  </si>
  <si>
    <t>JFN36L5S8K</t>
  </si>
  <si>
    <t>Astral SteriTech Private Ltd.</t>
  </si>
  <si>
    <t>911 G I D C Makarpura</t>
  </si>
  <si>
    <t>D-0602-2023</t>
  </si>
  <si>
    <t>Ampicillin and Sulbactam for Injection, USP 3 grams per vial, Rx only, Manufactured for: Xellia Pharmaceuticals USA, LLC, Buffalo Grove, IL 60089, NDC 70594-082-02</t>
  </si>
  <si>
    <t>591,160 vials</t>
  </si>
  <si>
    <t>Lack of Assurance of Sterility</t>
  </si>
  <si>
    <t>All lots within expiry.</t>
  </si>
  <si>
    <t>70594-082</t>
  </si>
  <si>
    <t>70594-081-02</t>
  </si>
  <si>
    <t>70594-082-01</t>
  </si>
  <si>
    <t>70594-082-02</t>
  </si>
  <si>
    <t>SULBACTAM SODIUM</t>
  </si>
  <si>
    <t>DKQ4T82YE6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</si>
</sst>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11" fontId="0" fillId="0" borderId="0" xfId="0" applyNumberFormat="1"/>
    <xf numFmtId="0" fontId="16" fillId="0" borderId="0" xfId="0" applyFont="1"/>
    <xf numFmtId="0" fontId="0" fillId="0" borderId="0" xfId="0" pivotButton="1"/>
    <xf numFmtId="0" fontId="0" fillId="0" borderId="0" xfId="0" applyAlignment="1">
      <alignment horizontal="left"/>
    </xf>
    <xf numFmtId="0" fontId="0" fillId="0" borderId="0" xfId="0" quotePrefix="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0">
    <dxf>
      <numFmt numFmtId="0" formatCode="General"/>
    </dxf>
    <dxf>
      <numFmt numFmtId="0" formatCode="General"/>
    </dxf>
    <dxf>
      <numFmt numFmtId="15" formatCode="0.00E+00"/>
    </dxf>
    <dxf>
      <numFmt numFmtId="15" formatCode="0.00E+00"/>
    </dxf>
    <dxf>
      <numFmt numFmtId="15" formatCode="0.00E+00"/>
    </dxf>
    <dxf>
      <numFmt numFmtId="15" formatCode="0.00E+00"/>
    </dxf>
    <dxf>
      <numFmt numFmtId="15" formatCode="0.00E+00"/>
    </dxf>
    <dxf>
      <font>
        <b/>
        <i val="0"/>
        <strike val="0"/>
        <condense val="0"/>
        <extend val="0"/>
        <outline val="0"/>
        <shadow val="0"/>
        <u val="none"/>
        <vertAlign val="baseline"/>
        <sz val="11"/>
        <color theme="1"/>
        <name val="Aptos Narrow"/>
        <family val="2"/>
        <scheme val="minor"/>
      </font>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[Pharmadata_updated.xlsm]Pivot Tables!PivotTable1</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'Pivot Tables'!$B$3:$B$4</c:f>
              <c:strCache>
                <c:ptCount val="1"/>
                <c:pt idx="0">
                  <c:v>Ongoing</c:v>
                </c:pt>
              </c:strCache>
            </c:strRef>
          </c:tx>
          <c:spPr>
            <a:solidFill>
              <a:schemeClr val="accent1"/>
            </a:solidFill>
            <a:ln>
              <a:noFill/>
            </a:ln>
            <a:effectLst/>
            <a:sp3d/>
          </c:spPr>
          <c:invertIfNegative val="0"/>
          <c:cat>
            <c:strRef>
              <c:f>'Pivot Tables'!$A$5:$A$8</c:f>
              <c:strCache>
                <c:ptCount val="3"/>
                <c:pt idx="0">
                  <c:v>Class I</c:v>
                </c:pt>
                <c:pt idx="1">
                  <c:v>Class II</c:v>
                </c:pt>
                <c:pt idx="2">
                  <c:v>Class III</c:v>
                </c:pt>
              </c:strCache>
            </c:strRef>
          </c:cat>
          <c:val>
            <c:numRef>
              <c:f>'Pivot Tables'!$B$5:$B$8</c:f>
              <c:numCache>
                <c:formatCode>General</c:formatCode>
                <c:ptCount val="3"/>
                <c:pt idx="0">
                  <c:v>4</c:v>
                </c:pt>
                <c:pt idx="1">
                  <c:v>31</c:v>
                </c:pt>
                <c:pt idx="2">
                  <c:v>1</c:v>
                </c:pt>
              </c:numCache>
            </c:numRef>
          </c:val>
          <c:extLst>
            <c:ext xmlns:c16="http://schemas.microsoft.com/office/drawing/2014/chart" uri="{C3380CC4-5D6E-409C-BE32-E72D297353CC}">
              <c16:uniqueId val="{00000000-A49F-44E4-9253-3403CCB01990}"/>
            </c:ext>
          </c:extLst>
        </c:ser>
        <c:ser>
          <c:idx val="1"/>
          <c:order val="1"/>
          <c:tx>
            <c:strRef>
              <c:f>'Pivot Tables'!$C$3:$C$4</c:f>
              <c:strCache>
                <c:ptCount val="1"/>
                <c:pt idx="0">
                  <c:v>Terminated</c:v>
                </c:pt>
              </c:strCache>
            </c:strRef>
          </c:tx>
          <c:spPr>
            <a:solidFill>
              <a:schemeClr val="accent2"/>
            </a:solidFill>
            <a:ln>
              <a:noFill/>
            </a:ln>
            <a:effectLst/>
            <a:sp3d/>
          </c:spPr>
          <c:invertIfNegative val="0"/>
          <c:cat>
            <c:strRef>
              <c:f>'Pivot Tables'!$A$5:$A$8</c:f>
              <c:strCache>
                <c:ptCount val="3"/>
                <c:pt idx="0">
                  <c:v>Class I</c:v>
                </c:pt>
                <c:pt idx="1">
                  <c:v>Class II</c:v>
                </c:pt>
                <c:pt idx="2">
                  <c:v>Class III</c:v>
                </c:pt>
              </c:strCache>
            </c:strRef>
          </c:cat>
          <c:val>
            <c:numRef>
              <c:f>'Pivot Tables'!$C$5:$C$8</c:f>
              <c:numCache>
                <c:formatCode>General</c:formatCode>
                <c:ptCount val="3"/>
                <c:pt idx="0">
                  <c:v>5</c:v>
                </c:pt>
                <c:pt idx="1">
                  <c:v>27</c:v>
                </c:pt>
                <c:pt idx="2">
                  <c:v>5</c:v>
                </c:pt>
              </c:numCache>
            </c:numRef>
          </c:val>
          <c:extLst>
            <c:ext xmlns:c16="http://schemas.microsoft.com/office/drawing/2014/chart" uri="{C3380CC4-5D6E-409C-BE32-E72D297353CC}">
              <c16:uniqueId val="{00000001-A49F-44E4-9253-3403CCB01990}"/>
            </c:ext>
          </c:extLst>
        </c:ser>
        <c:dLbls>
          <c:showLegendKey val="0"/>
          <c:showVal val="0"/>
          <c:showCatName val="0"/>
          <c:showSerName val="0"/>
          <c:showPercent val="0"/>
          <c:showBubbleSize val="0"/>
        </c:dLbls>
        <c:gapWidth val="150"/>
        <c:shape val="box"/>
        <c:axId val="903624815"/>
        <c:axId val="903625295"/>
        <c:axId val="0"/>
      </c:bar3DChart>
      <c:catAx>
        <c:axId val="90362481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3625295"/>
        <c:crosses val="autoZero"/>
        <c:auto val="1"/>
        <c:lblAlgn val="ctr"/>
        <c:lblOffset val="100"/>
        <c:noMultiLvlLbl val="0"/>
      </c:catAx>
      <c:valAx>
        <c:axId val="90362529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36248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[Pharmadata_updated.xlsm]Pivot Tables!PivotTable3</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Tables'!$B$15:$B$16</c:f>
              <c:strCache>
                <c:ptCount val="1"/>
                <c:pt idx="0">
                  <c:v>CA</c:v>
                </c:pt>
              </c:strCache>
            </c:strRef>
          </c:tx>
          <c:spPr>
            <a:solidFill>
              <a:schemeClr val="accent1"/>
            </a:solidFill>
            <a:ln>
              <a:noFill/>
            </a:ln>
            <a:effectLst/>
            <a:sp3d/>
          </c:spPr>
          <c:invertIfNegative val="0"/>
          <c:cat>
            <c:strRef>
              <c:f>'Pivot Tables'!$A$17:$A$21</c:f>
              <c:strCache>
                <c:ptCount val="4"/>
                <c:pt idx="0">
                  <c:v>Class I</c:v>
                </c:pt>
                <c:pt idx="1">
                  <c:v>Class II</c:v>
                </c:pt>
                <c:pt idx="2">
                  <c:v>Class III</c:v>
                </c:pt>
                <c:pt idx="3">
                  <c:v>(blank)</c:v>
                </c:pt>
              </c:strCache>
            </c:strRef>
          </c:cat>
          <c:val>
            <c:numRef>
              <c:f>'Pivot Tables'!$B$17:$B$21</c:f>
              <c:numCache>
                <c:formatCode>General</c:formatCode>
                <c:ptCount val="4"/>
                <c:pt idx="0">
                  <c:v>3</c:v>
                </c:pt>
                <c:pt idx="1">
                  <c:v>2</c:v>
                </c:pt>
              </c:numCache>
            </c:numRef>
          </c:val>
          <c:extLst>
            <c:ext xmlns:c16="http://schemas.microsoft.com/office/drawing/2014/chart" uri="{C3380CC4-5D6E-409C-BE32-E72D297353CC}">
              <c16:uniqueId val="{00000000-2D71-43A4-81F0-D59E3B1022B8}"/>
            </c:ext>
          </c:extLst>
        </c:ser>
        <c:ser>
          <c:idx val="1"/>
          <c:order val="1"/>
          <c:tx>
            <c:strRef>
              <c:f>'Pivot Tables'!$C$15:$C$16</c:f>
              <c:strCache>
                <c:ptCount val="1"/>
                <c:pt idx="0">
                  <c:v>FL</c:v>
                </c:pt>
              </c:strCache>
            </c:strRef>
          </c:tx>
          <c:spPr>
            <a:solidFill>
              <a:schemeClr val="accent2"/>
            </a:solidFill>
            <a:ln>
              <a:noFill/>
            </a:ln>
            <a:effectLst/>
            <a:sp3d/>
          </c:spPr>
          <c:invertIfNegative val="0"/>
          <c:cat>
            <c:strRef>
              <c:f>'Pivot Tables'!$A$17:$A$21</c:f>
              <c:strCache>
                <c:ptCount val="4"/>
                <c:pt idx="0">
                  <c:v>Class I</c:v>
                </c:pt>
                <c:pt idx="1">
                  <c:v>Class II</c:v>
                </c:pt>
                <c:pt idx="2">
                  <c:v>Class III</c:v>
                </c:pt>
                <c:pt idx="3">
                  <c:v>(blank)</c:v>
                </c:pt>
              </c:strCache>
            </c:strRef>
          </c:cat>
          <c:val>
            <c:numRef>
              <c:f>'Pivot Tables'!$C$17:$C$21</c:f>
              <c:numCache>
                <c:formatCode>General</c:formatCode>
                <c:ptCount val="4"/>
                <c:pt idx="1">
                  <c:v>4</c:v>
                </c:pt>
              </c:numCache>
            </c:numRef>
          </c:val>
          <c:extLst>
            <c:ext xmlns:c16="http://schemas.microsoft.com/office/drawing/2014/chart" uri="{C3380CC4-5D6E-409C-BE32-E72D297353CC}">
              <c16:uniqueId val="{00000001-2D71-43A4-81F0-D59E3B1022B8}"/>
            </c:ext>
          </c:extLst>
        </c:ser>
        <c:ser>
          <c:idx val="2"/>
          <c:order val="2"/>
          <c:tx>
            <c:strRef>
              <c:f>'Pivot Tables'!$D$15:$D$16</c:f>
              <c:strCache>
                <c:ptCount val="1"/>
                <c:pt idx="0">
                  <c:v>IL</c:v>
                </c:pt>
              </c:strCache>
            </c:strRef>
          </c:tx>
          <c:spPr>
            <a:solidFill>
              <a:schemeClr val="accent3"/>
            </a:solidFill>
            <a:ln>
              <a:noFill/>
            </a:ln>
            <a:effectLst/>
            <a:sp3d/>
          </c:spPr>
          <c:invertIfNegative val="0"/>
          <c:cat>
            <c:strRef>
              <c:f>'Pivot Tables'!$A$17:$A$21</c:f>
              <c:strCache>
                <c:ptCount val="4"/>
                <c:pt idx="0">
                  <c:v>Class I</c:v>
                </c:pt>
                <c:pt idx="1">
                  <c:v>Class II</c:v>
                </c:pt>
                <c:pt idx="2">
                  <c:v>Class III</c:v>
                </c:pt>
                <c:pt idx="3">
                  <c:v>(blank)</c:v>
                </c:pt>
              </c:strCache>
            </c:strRef>
          </c:cat>
          <c:val>
            <c:numRef>
              <c:f>'Pivot Tables'!$D$17:$D$21</c:f>
              <c:numCache>
                <c:formatCode>General</c:formatCode>
                <c:ptCount val="4"/>
                <c:pt idx="0">
                  <c:v>2</c:v>
                </c:pt>
                <c:pt idx="1">
                  <c:v>2</c:v>
                </c:pt>
              </c:numCache>
            </c:numRef>
          </c:val>
          <c:extLst>
            <c:ext xmlns:c16="http://schemas.microsoft.com/office/drawing/2014/chart" uri="{C3380CC4-5D6E-409C-BE32-E72D297353CC}">
              <c16:uniqueId val="{00000002-2D71-43A4-81F0-D59E3B1022B8}"/>
            </c:ext>
          </c:extLst>
        </c:ser>
        <c:ser>
          <c:idx val="3"/>
          <c:order val="3"/>
          <c:tx>
            <c:strRef>
              <c:f>'Pivot Tables'!$E$15:$E$16</c:f>
              <c:strCache>
                <c:ptCount val="1"/>
                <c:pt idx="0">
                  <c:v>IN</c:v>
                </c:pt>
              </c:strCache>
            </c:strRef>
          </c:tx>
          <c:spPr>
            <a:solidFill>
              <a:schemeClr val="accent4"/>
            </a:solidFill>
            <a:ln>
              <a:noFill/>
            </a:ln>
            <a:effectLst/>
            <a:sp3d/>
          </c:spPr>
          <c:invertIfNegative val="0"/>
          <c:cat>
            <c:strRef>
              <c:f>'Pivot Tables'!$A$17:$A$21</c:f>
              <c:strCache>
                <c:ptCount val="4"/>
                <c:pt idx="0">
                  <c:v>Class I</c:v>
                </c:pt>
                <c:pt idx="1">
                  <c:v>Class II</c:v>
                </c:pt>
                <c:pt idx="2">
                  <c:v>Class III</c:v>
                </c:pt>
                <c:pt idx="3">
                  <c:v>(blank)</c:v>
                </c:pt>
              </c:strCache>
            </c:strRef>
          </c:cat>
          <c:val>
            <c:numRef>
              <c:f>'Pivot Tables'!$E$17:$E$21</c:f>
              <c:numCache>
                <c:formatCode>General</c:formatCode>
                <c:ptCount val="4"/>
                <c:pt idx="1">
                  <c:v>1</c:v>
                </c:pt>
              </c:numCache>
            </c:numRef>
          </c:val>
          <c:extLst>
            <c:ext xmlns:c16="http://schemas.microsoft.com/office/drawing/2014/chart" uri="{C3380CC4-5D6E-409C-BE32-E72D297353CC}">
              <c16:uniqueId val="{00000003-2D71-43A4-81F0-D59E3B1022B8}"/>
            </c:ext>
          </c:extLst>
        </c:ser>
        <c:ser>
          <c:idx val="4"/>
          <c:order val="4"/>
          <c:tx>
            <c:strRef>
              <c:f>'Pivot Tables'!$F$15:$F$16</c:f>
              <c:strCache>
                <c:ptCount val="1"/>
                <c:pt idx="0">
                  <c:v>MA</c:v>
                </c:pt>
              </c:strCache>
            </c:strRef>
          </c:tx>
          <c:spPr>
            <a:solidFill>
              <a:schemeClr val="accent5"/>
            </a:solidFill>
            <a:ln>
              <a:noFill/>
            </a:ln>
            <a:effectLst/>
            <a:sp3d/>
          </c:spPr>
          <c:invertIfNegative val="0"/>
          <c:cat>
            <c:strRef>
              <c:f>'Pivot Tables'!$A$17:$A$21</c:f>
              <c:strCache>
                <c:ptCount val="4"/>
                <c:pt idx="0">
                  <c:v>Class I</c:v>
                </c:pt>
                <c:pt idx="1">
                  <c:v>Class II</c:v>
                </c:pt>
                <c:pt idx="2">
                  <c:v>Class III</c:v>
                </c:pt>
                <c:pt idx="3">
                  <c:v>(blank)</c:v>
                </c:pt>
              </c:strCache>
            </c:strRef>
          </c:cat>
          <c:val>
            <c:numRef>
              <c:f>'Pivot Tables'!$F$17:$F$21</c:f>
              <c:numCache>
                <c:formatCode>General</c:formatCode>
                <c:ptCount val="4"/>
                <c:pt idx="2">
                  <c:v>2</c:v>
                </c:pt>
              </c:numCache>
            </c:numRef>
          </c:val>
          <c:extLst>
            <c:ext xmlns:c16="http://schemas.microsoft.com/office/drawing/2014/chart" uri="{C3380CC4-5D6E-409C-BE32-E72D297353CC}">
              <c16:uniqueId val="{00000004-2D71-43A4-81F0-D59E3B1022B8}"/>
            </c:ext>
          </c:extLst>
        </c:ser>
        <c:ser>
          <c:idx val="5"/>
          <c:order val="5"/>
          <c:tx>
            <c:strRef>
              <c:f>'Pivot Tables'!$G$15:$G$16</c:f>
              <c:strCache>
                <c:ptCount val="1"/>
                <c:pt idx="0">
                  <c:v>MI</c:v>
                </c:pt>
              </c:strCache>
            </c:strRef>
          </c:tx>
          <c:spPr>
            <a:solidFill>
              <a:schemeClr val="accent6"/>
            </a:solidFill>
            <a:ln>
              <a:noFill/>
            </a:ln>
            <a:effectLst/>
            <a:sp3d/>
          </c:spPr>
          <c:invertIfNegative val="0"/>
          <c:cat>
            <c:strRef>
              <c:f>'Pivot Tables'!$A$17:$A$21</c:f>
              <c:strCache>
                <c:ptCount val="4"/>
                <c:pt idx="0">
                  <c:v>Class I</c:v>
                </c:pt>
                <c:pt idx="1">
                  <c:v>Class II</c:v>
                </c:pt>
                <c:pt idx="2">
                  <c:v>Class III</c:v>
                </c:pt>
                <c:pt idx="3">
                  <c:v>(blank)</c:v>
                </c:pt>
              </c:strCache>
            </c:strRef>
          </c:cat>
          <c:val>
            <c:numRef>
              <c:f>'Pivot Tables'!$G$17:$G$21</c:f>
              <c:numCache>
                <c:formatCode>General</c:formatCode>
                <c:ptCount val="4"/>
                <c:pt idx="1">
                  <c:v>1</c:v>
                </c:pt>
              </c:numCache>
            </c:numRef>
          </c:val>
          <c:extLst>
            <c:ext xmlns:c16="http://schemas.microsoft.com/office/drawing/2014/chart" uri="{C3380CC4-5D6E-409C-BE32-E72D297353CC}">
              <c16:uniqueId val="{00000005-2D71-43A4-81F0-D59E3B1022B8}"/>
            </c:ext>
          </c:extLst>
        </c:ser>
        <c:ser>
          <c:idx val="6"/>
          <c:order val="6"/>
          <c:tx>
            <c:strRef>
              <c:f>'Pivot Tables'!$H$15:$H$16</c:f>
              <c:strCache>
                <c:ptCount val="1"/>
                <c:pt idx="0">
                  <c:v>N/A</c:v>
                </c:pt>
              </c:strCache>
            </c:strRef>
          </c:tx>
          <c:spPr>
            <a:solidFill>
              <a:schemeClr val="accent1">
                <a:lumMod val="60000"/>
              </a:schemeClr>
            </a:solidFill>
            <a:ln>
              <a:noFill/>
            </a:ln>
            <a:effectLst/>
            <a:sp3d/>
          </c:spPr>
          <c:invertIfNegative val="0"/>
          <c:cat>
            <c:strRef>
              <c:f>'Pivot Tables'!$A$17:$A$21</c:f>
              <c:strCache>
                <c:ptCount val="4"/>
                <c:pt idx="0">
                  <c:v>Class I</c:v>
                </c:pt>
                <c:pt idx="1">
                  <c:v>Class II</c:v>
                </c:pt>
                <c:pt idx="2">
                  <c:v>Class III</c:v>
                </c:pt>
                <c:pt idx="3">
                  <c:v>(blank)</c:v>
                </c:pt>
              </c:strCache>
            </c:strRef>
          </c:cat>
          <c:val>
            <c:numRef>
              <c:f>'Pivot Tables'!$H$17:$H$21</c:f>
              <c:numCache>
                <c:formatCode>General</c:formatCode>
                <c:ptCount val="4"/>
                <c:pt idx="1">
                  <c:v>6</c:v>
                </c:pt>
              </c:numCache>
            </c:numRef>
          </c:val>
          <c:extLst>
            <c:ext xmlns:c16="http://schemas.microsoft.com/office/drawing/2014/chart" uri="{C3380CC4-5D6E-409C-BE32-E72D297353CC}">
              <c16:uniqueId val="{00000006-2D71-43A4-81F0-D59E3B1022B8}"/>
            </c:ext>
          </c:extLst>
        </c:ser>
        <c:ser>
          <c:idx val="7"/>
          <c:order val="7"/>
          <c:tx>
            <c:strRef>
              <c:f>'Pivot Tables'!$I$15:$I$16</c:f>
              <c:strCache>
                <c:ptCount val="1"/>
                <c:pt idx="0">
                  <c:v>NC</c:v>
                </c:pt>
              </c:strCache>
            </c:strRef>
          </c:tx>
          <c:spPr>
            <a:solidFill>
              <a:schemeClr val="accent2">
                <a:lumMod val="60000"/>
              </a:schemeClr>
            </a:solidFill>
            <a:ln>
              <a:noFill/>
            </a:ln>
            <a:effectLst/>
            <a:sp3d/>
          </c:spPr>
          <c:invertIfNegative val="0"/>
          <c:cat>
            <c:strRef>
              <c:f>'Pivot Tables'!$A$17:$A$21</c:f>
              <c:strCache>
                <c:ptCount val="4"/>
                <c:pt idx="0">
                  <c:v>Class I</c:v>
                </c:pt>
                <c:pt idx="1">
                  <c:v>Class II</c:v>
                </c:pt>
                <c:pt idx="2">
                  <c:v>Class III</c:v>
                </c:pt>
                <c:pt idx="3">
                  <c:v>(blank)</c:v>
                </c:pt>
              </c:strCache>
            </c:strRef>
          </c:cat>
          <c:val>
            <c:numRef>
              <c:f>'Pivot Tables'!$I$17:$I$21</c:f>
              <c:numCache>
                <c:formatCode>General</c:formatCode>
                <c:ptCount val="4"/>
                <c:pt idx="1">
                  <c:v>1</c:v>
                </c:pt>
                <c:pt idx="2">
                  <c:v>2</c:v>
                </c:pt>
              </c:numCache>
            </c:numRef>
          </c:val>
          <c:extLst>
            <c:ext xmlns:c16="http://schemas.microsoft.com/office/drawing/2014/chart" uri="{C3380CC4-5D6E-409C-BE32-E72D297353CC}">
              <c16:uniqueId val="{00000007-2D71-43A4-81F0-D59E3B1022B8}"/>
            </c:ext>
          </c:extLst>
        </c:ser>
        <c:ser>
          <c:idx val="8"/>
          <c:order val="8"/>
          <c:tx>
            <c:strRef>
              <c:f>'Pivot Tables'!$J$15:$J$16</c:f>
              <c:strCache>
                <c:ptCount val="1"/>
                <c:pt idx="0">
                  <c:v>NJ</c:v>
                </c:pt>
              </c:strCache>
            </c:strRef>
          </c:tx>
          <c:spPr>
            <a:solidFill>
              <a:schemeClr val="accent3">
                <a:lumMod val="60000"/>
              </a:schemeClr>
            </a:solidFill>
            <a:ln>
              <a:noFill/>
            </a:ln>
            <a:effectLst/>
            <a:sp3d/>
          </c:spPr>
          <c:invertIfNegative val="0"/>
          <c:cat>
            <c:strRef>
              <c:f>'Pivot Tables'!$A$17:$A$21</c:f>
              <c:strCache>
                <c:ptCount val="4"/>
                <c:pt idx="0">
                  <c:v>Class I</c:v>
                </c:pt>
                <c:pt idx="1">
                  <c:v>Class II</c:v>
                </c:pt>
                <c:pt idx="2">
                  <c:v>Class III</c:v>
                </c:pt>
                <c:pt idx="3">
                  <c:v>(blank)</c:v>
                </c:pt>
              </c:strCache>
            </c:strRef>
          </c:cat>
          <c:val>
            <c:numRef>
              <c:f>'Pivot Tables'!$J$17:$J$21</c:f>
              <c:numCache>
                <c:formatCode>General</c:formatCode>
                <c:ptCount val="4"/>
                <c:pt idx="0">
                  <c:v>3</c:v>
                </c:pt>
                <c:pt idx="1">
                  <c:v>22</c:v>
                </c:pt>
                <c:pt idx="2">
                  <c:v>2</c:v>
                </c:pt>
              </c:numCache>
            </c:numRef>
          </c:val>
          <c:extLst>
            <c:ext xmlns:c16="http://schemas.microsoft.com/office/drawing/2014/chart" uri="{C3380CC4-5D6E-409C-BE32-E72D297353CC}">
              <c16:uniqueId val="{00000008-2D71-43A4-81F0-D59E3B1022B8}"/>
            </c:ext>
          </c:extLst>
        </c:ser>
        <c:ser>
          <c:idx val="9"/>
          <c:order val="9"/>
          <c:tx>
            <c:strRef>
              <c:f>'Pivot Tables'!$K$15:$K$16</c:f>
              <c:strCache>
                <c:ptCount val="1"/>
                <c:pt idx="0">
                  <c:v>NY</c:v>
                </c:pt>
              </c:strCache>
            </c:strRef>
          </c:tx>
          <c:spPr>
            <a:solidFill>
              <a:schemeClr val="accent4">
                <a:lumMod val="60000"/>
              </a:schemeClr>
            </a:solidFill>
            <a:ln>
              <a:noFill/>
            </a:ln>
            <a:effectLst/>
            <a:sp3d/>
          </c:spPr>
          <c:invertIfNegative val="0"/>
          <c:cat>
            <c:strRef>
              <c:f>'Pivot Tables'!$A$17:$A$21</c:f>
              <c:strCache>
                <c:ptCount val="4"/>
                <c:pt idx="0">
                  <c:v>Class I</c:v>
                </c:pt>
                <c:pt idx="1">
                  <c:v>Class II</c:v>
                </c:pt>
                <c:pt idx="2">
                  <c:v>Class III</c:v>
                </c:pt>
                <c:pt idx="3">
                  <c:v>(blank)</c:v>
                </c:pt>
              </c:strCache>
            </c:strRef>
          </c:cat>
          <c:val>
            <c:numRef>
              <c:f>'Pivot Tables'!$K$17:$K$21</c:f>
              <c:numCache>
                <c:formatCode>General</c:formatCode>
                <c:ptCount val="4"/>
                <c:pt idx="0">
                  <c:v>1</c:v>
                </c:pt>
                <c:pt idx="1">
                  <c:v>4</c:v>
                </c:pt>
              </c:numCache>
            </c:numRef>
          </c:val>
          <c:extLst>
            <c:ext xmlns:c16="http://schemas.microsoft.com/office/drawing/2014/chart" uri="{C3380CC4-5D6E-409C-BE32-E72D297353CC}">
              <c16:uniqueId val="{00000009-2D71-43A4-81F0-D59E3B1022B8}"/>
            </c:ext>
          </c:extLst>
        </c:ser>
        <c:ser>
          <c:idx val="10"/>
          <c:order val="10"/>
          <c:tx>
            <c:strRef>
              <c:f>'Pivot Tables'!$L$15:$L$16</c:f>
              <c:strCache>
                <c:ptCount val="1"/>
                <c:pt idx="0">
                  <c:v>OH</c:v>
                </c:pt>
              </c:strCache>
            </c:strRef>
          </c:tx>
          <c:spPr>
            <a:solidFill>
              <a:schemeClr val="accent5">
                <a:lumMod val="60000"/>
              </a:schemeClr>
            </a:solidFill>
            <a:ln>
              <a:noFill/>
            </a:ln>
            <a:effectLst/>
            <a:sp3d/>
          </c:spPr>
          <c:invertIfNegative val="0"/>
          <c:cat>
            <c:strRef>
              <c:f>'Pivot Tables'!$A$17:$A$21</c:f>
              <c:strCache>
                <c:ptCount val="4"/>
                <c:pt idx="0">
                  <c:v>Class I</c:v>
                </c:pt>
                <c:pt idx="1">
                  <c:v>Class II</c:v>
                </c:pt>
                <c:pt idx="2">
                  <c:v>Class III</c:v>
                </c:pt>
                <c:pt idx="3">
                  <c:v>(blank)</c:v>
                </c:pt>
              </c:strCache>
            </c:strRef>
          </c:cat>
          <c:val>
            <c:numRef>
              <c:f>'Pivot Tables'!$L$17:$L$21</c:f>
              <c:numCache>
                <c:formatCode>General</c:formatCode>
                <c:ptCount val="4"/>
                <c:pt idx="1">
                  <c:v>5</c:v>
                </c:pt>
              </c:numCache>
            </c:numRef>
          </c:val>
          <c:extLst>
            <c:ext xmlns:c16="http://schemas.microsoft.com/office/drawing/2014/chart" uri="{C3380CC4-5D6E-409C-BE32-E72D297353CC}">
              <c16:uniqueId val="{0000000A-2D71-43A4-81F0-D59E3B1022B8}"/>
            </c:ext>
          </c:extLst>
        </c:ser>
        <c:ser>
          <c:idx val="11"/>
          <c:order val="11"/>
          <c:tx>
            <c:strRef>
              <c:f>'Pivot Tables'!$M$15:$M$16</c:f>
              <c:strCache>
                <c:ptCount val="1"/>
                <c:pt idx="0">
                  <c:v>TN</c:v>
                </c:pt>
              </c:strCache>
            </c:strRef>
          </c:tx>
          <c:spPr>
            <a:solidFill>
              <a:schemeClr val="accent6">
                <a:lumMod val="60000"/>
              </a:schemeClr>
            </a:solidFill>
            <a:ln>
              <a:noFill/>
            </a:ln>
            <a:effectLst/>
            <a:sp3d/>
          </c:spPr>
          <c:invertIfNegative val="0"/>
          <c:cat>
            <c:strRef>
              <c:f>'Pivot Tables'!$A$17:$A$21</c:f>
              <c:strCache>
                <c:ptCount val="4"/>
                <c:pt idx="0">
                  <c:v>Class I</c:v>
                </c:pt>
                <c:pt idx="1">
                  <c:v>Class II</c:v>
                </c:pt>
                <c:pt idx="2">
                  <c:v>Class III</c:v>
                </c:pt>
                <c:pt idx="3">
                  <c:v>(blank)</c:v>
                </c:pt>
              </c:strCache>
            </c:strRef>
          </c:cat>
          <c:val>
            <c:numRef>
              <c:f>'Pivot Tables'!$M$17:$M$21</c:f>
              <c:numCache>
                <c:formatCode>General</c:formatCode>
                <c:ptCount val="4"/>
                <c:pt idx="1">
                  <c:v>8</c:v>
                </c:pt>
              </c:numCache>
            </c:numRef>
          </c:val>
          <c:extLst>
            <c:ext xmlns:c16="http://schemas.microsoft.com/office/drawing/2014/chart" uri="{C3380CC4-5D6E-409C-BE32-E72D297353CC}">
              <c16:uniqueId val="{0000000B-2D71-43A4-81F0-D59E3B1022B8}"/>
            </c:ext>
          </c:extLst>
        </c:ser>
        <c:ser>
          <c:idx val="12"/>
          <c:order val="12"/>
          <c:tx>
            <c:strRef>
              <c:f>'Pivot Tables'!$N$15:$N$16</c:f>
              <c:strCache>
                <c:ptCount val="1"/>
                <c:pt idx="0">
                  <c:v>VA</c:v>
                </c:pt>
              </c:strCache>
            </c:strRef>
          </c:tx>
          <c:spPr>
            <a:solidFill>
              <a:schemeClr val="accent1">
                <a:lumMod val="80000"/>
                <a:lumOff val="20000"/>
              </a:schemeClr>
            </a:solidFill>
            <a:ln>
              <a:noFill/>
            </a:ln>
            <a:effectLst/>
            <a:sp3d/>
          </c:spPr>
          <c:invertIfNegative val="0"/>
          <c:cat>
            <c:strRef>
              <c:f>'Pivot Tables'!$A$17:$A$21</c:f>
              <c:strCache>
                <c:ptCount val="4"/>
                <c:pt idx="0">
                  <c:v>Class I</c:v>
                </c:pt>
                <c:pt idx="1">
                  <c:v>Class II</c:v>
                </c:pt>
                <c:pt idx="2">
                  <c:v>Class III</c:v>
                </c:pt>
                <c:pt idx="3">
                  <c:v>(blank)</c:v>
                </c:pt>
              </c:strCache>
            </c:strRef>
          </c:cat>
          <c:val>
            <c:numRef>
              <c:f>'Pivot Tables'!$N$17:$N$21</c:f>
              <c:numCache>
                <c:formatCode>General</c:formatCode>
                <c:ptCount val="4"/>
                <c:pt idx="1">
                  <c:v>2</c:v>
                </c:pt>
              </c:numCache>
            </c:numRef>
          </c:val>
          <c:extLst>
            <c:ext xmlns:c16="http://schemas.microsoft.com/office/drawing/2014/chart" uri="{C3380CC4-5D6E-409C-BE32-E72D297353CC}">
              <c16:uniqueId val="{0000000C-2D71-43A4-81F0-D59E3B1022B8}"/>
            </c:ext>
          </c:extLst>
        </c:ser>
        <c:ser>
          <c:idx val="13"/>
          <c:order val="13"/>
          <c:tx>
            <c:strRef>
              <c:f>'Pivot Tables'!$O$15:$O$16</c:f>
              <c:strCache>
                <c:ptCount val="1"/>
                <c:pt idx="0">
                  <c:v>(blank)</c:v>
                </c:pt>
              </c:strCache>
            </c:strRef>
          </c:tx>
          <c:spPr>
            <a:solidFill>
              <a:schemeClr val="accent2">
                <a:lumMod val="80000"/>
                <a:lumOff val="20000"/>
              </a:schemeClr>
            </a:solidFill>
            <a:ln>
              <a:noFill/>
            </a:ln>
            <a:effectLst/>
            <a:sp3d/>
          </c:spPr>
          <c:invertIfNegative val="0"/>
          <c:cat>
            <c:strRef>
              <c:f>'Pivot Tables'!$A$17:$A$21</c:f>
              <c:strCache>
                <c:ptCount val="4"/>
                <c:pt idx="0">
                  <c:v>Class I</c:v>
                </c:pt>
                <c:pt idx="1">
                  <c:v>Class II</c:v>
                </c:pt>
                <c:pt idx="2">
                  <c:v>Class III</c:v>
                </c:pt>
                <c:pt idx="3">
                  <c:v>(blank)</c:v>
                </c:pt>
              </c:strCache>
            </c:strRef>
          </c:cat>
          <c:val>
            <c:numRef>
              <c:f>'Pivot Tables'!$O$17:$O$21</c:f>
              <c:numCache>
                <c:formatCode>General</c:formatCode>
                <c:ptCount val="4"/>
              </c:numCache>
            </c:numRef>
          </c:val>
          <c:extLst>
            <c:ext xmlns:c16="http://schemas.microsoft.com/office/drawing/2014/chart" uri="{C3380CC4-5D6E-409C-BE32-E72D297353CC}">
              <c16:uniqueId val="{0000000D-2D71-43A4-81F0-D59E3B1022B8}"/>
            </c:ext>
          </c:extLst>
        </c:ser>
        <c:dLbls>
          <c:showLegendKey val="0"/>
          <c:showVal val="0"/>
          <c:showCatName val="0"/>
          <c:showSerName val="0"/>
          <c:showPercent val="0"/>
          <c:showBubbleSize val="0"/>
        </c:dLbls>
        <c:gapWidth val="150"/>
        <c:shape val="box"/>
        <c:axId val="905120111"/>
        <c:axId val="899435663"/>
        <c:axId val="0"/>
      </c:bar3DChart>
      <c:catAx>
        <c:axId val="9051201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9435663"/>
        <c:crosses val="autoZero"/>
        <c:auto val="1"/>
        <c:lblAlgn val="ctr"/>
        <c:lblOffset val="100"/>
        <c:noMultiLvlLbl val="0"/>
      </c:catAx>
      <c:valAx>
        <c:axId val="8994356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120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152400</xdr:colOff>
      <xdr:row>2</xdr:row>
      <xdr:rowOff>38100</xdr:rowOff>
    </xdr:from>
    <xdr:to>
      <xdr:col>13</xdr:col>
      <xdr:colOff>47625</xdr:colOff>
      <xdr:row>10</xdr:row>
      <xdr:rowOff>95250</xdr:rowOff>
    </xdr:to>
    <mc:AlternateContent xmlns:mc="http://schemas.openxmlformats.org/markup-compatibility/2006" xmlns:a14="http://schemas.microsoft.com/office/drawing/2010/main">
      <mc:Choice Requires="a14">
        <xdr:graphicFrame macro="">
          <xdr:nvGraphicFramePr>
            <xdr:cNvPr id="2" name="state">
              <a:extLst>
                <a:ext uri="{FF2B5EF4-FFF2-40B4-BE49-F238E27FC236}">
                  <a16:creationId xmlns:a16="http://schemas.microsoft.com/office/drawing/2014/main" id="{6669D3E3-5202-F829-D6C0-9A19EEB46586}"/>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6067425" y="419100"/>
              <a:ext cx="1828800" cy="1581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142875</xdr:colOff>
      <xdr:row>0</xdr:row>
      <xdr:rowOff>166687</xdr:rowOff>
    </xdr:from>
    <xdr:to>
      <xdr:col>23</xdr:col>
      <xdr:colOff>447675</xdr:colOff>
      <xdr:row>13</xdr:row>
      <xdr:rowOff>57150</xdr:rowOff>
    </xdr:to>
    <xdr:graphicFrame macro="">
      <xdr:nvGraphicFramePr>
        <xdr:cNvPr id="4" name="Chart 3">
          <a:extLst>
            <a:ext uri="{FF2B5EF4-FFF2-40B4-BE49-F238E27FC236}">
              <a16:creationId xmlns:a16="http://schemas.microsoft.com/office/drawing/2014/main" id="{01FD02FA-DD87-7FB4-C7C3-2B72F44270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123825</xdr:colOff>
      <xdr:row>15</xdr:row>
      <xdr:rowOff>14287</xdr:rowOff>
    </xdr:from>
    <xdr:to>
      <xdr:col>23</xdr:col>
      <xdr:colOff>428625</xdr:colOff>
      <xdr:row>29</xdr:row>
      <xdr:rowOff>90487</xdr:rowOff>
    </xdr:to>
    <xdr:graphicFrame macro="">
      <xdr:nvGraphicFramePr>
        <xdr:cNvPr id="5" name="Chart 4">
          <a:extLst>
            <a:ext uri="{FF2B5EF4-FFF2-40B4-BE49-F238E27FC236}">
              <a16:creationId xmlns:a16="http://schemas.microsoft.com/office/drawing/2014/main" id="{07DA4990-EEA1-020C-6842-DA7259649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gnesh Sivakumar" refreshedDate="45652.483586805552" createdVersion="8" refreshedVersion="8" minRefreshableVersion="3" recordCount="74" xr:uid="{91C8E63D-D2E7-4A83-BA7C-0AA11CC3E1AC}">
  <cacheSource type="worksheet">
    <worksheetSource ref="A1:EO1048576" sheet="Pharmadata"/>
  </cacheSource>
  <cacheFields count="145">
    <cacheField name="status" numFmtId="0">
      <sharedItems containsBlank="1" count="3">
        <s v="Terminated"/>
        <s v="Ongoing"/>
        <m/>
      </sharedItems>
    </cacheField>
    <cacheField name="city" numFmtId="0">
      <sharedItems containsBlank="1"/>
    </cacheField>
    <cacheField name="state" numFmtId="0">
      <sharedItems containsBlank="1" count="14">
        <s v="NJ"/>
        <s v="TN"/>
        <s v="IL"/>
        <s v="NC"/>
        <s v="NY"/>
        <s v="OH"/>
        <s v="N/A"/>
        <s v="IN"/>
        <s v="MI"/>
        <s v="CA"/>
        <s v="FL"/>
        <s v="MA"/>
        <s v="VA"/>
        <m/>
      </sharedItems>
    </cacheField>
    <cacheField name="country" numFmtId="0">
      <sharedItems containsBlank="1"/>
    </cacheField>
    <cacheField name="classification" numFmtId="0">
      <sharedItems containsBlank="1" count="4">
        <s v="Class I"/>
        <s v="Class II"/>
        <s v="Class III"/>
        <m/>
      </sharedItems>
    </cacheField>
    <cacheField name="openfda/application_number/0" numFmtId="0">
      <sharedItems containsBlank="1"/>
    </cacheField>
    <cacheField name="openfda/brand_name/0" numFmtId="0">
      <sharedItems containsBlank="1"/>
    </cacheField>
    <cacheField name="openfda/generic_name/0" numFmtId="0">
      <sharedItems containsBlank="1"/>
    </cacheField>
    <cacheField name="openfda/manufacturer_name/0" numFmtId="0">
      <sharedItems containsBlank="1"/>
    </cacheField>
    <cacheField name="openfda/product_ndc/0" numFmtId="0">
      <sharedItems containsBlank="1"/>
    </cacheField>
    <cacheField name="openfda/product_type/0" numFmtId="0">
      <sharedItems containsBlank="1"/>
    </cacheField>
    <cacheField name="openfda/route/0" numFmtId="0">
      <sharedItems containsBlank="1"/>
    </cacheField>
    <cacheField name="openfda/substance_name/0" numFmtId="0">
      <sharedItems containsBlank="1"/>
    </cacheField>
    <cacheField name="openfda/rxcui/0" numFmtId="0">
      <sharedItems containsBlank="1" containsMixedTypes="1" containsNumber="1" containsInteger="1" minValue="209674" maxValue="2395826"/>
    </cacheField>
    <cacheField name="openfda/rxcui/1" numFmtId="0">
      <sharedItems containsBlank="1" containsMixedTypes="1" containsNumber="1" containsInteger="1" minValue="310797" maxValue="2395828"/>
    </cacheField>
    <cacheField name="openfda/spl_id/0" numFmtId="0">
      <sharedItems containsBlank="1"/>
    </cacheField>
    <cacheField name="openfda/spl_set_id/0" numFmtId="0">
      <sharedItems containsBlank="1"/>
    </cacheField>
    <cacheField name="openfda/package_ndc/0" numFmtId="0">
      <sharedItems containsBlank="1"/>
    </cacheField>
    <cacheField name="openfda/is_original_packager/0" numFmtId="0">
      <sharedItems containsBlank="1"/>
    </cacheField>
    <cacheField name="openfda/unii/0" numFmtId="0">
      <sharedItems containsBlank="1"/>
    </cacheField>
    <cacheField name="openfda/upc/0" numFmtId="0">
      <sharedItems containsBlank="1" containsMixedTypes="1" containsNumber="1" containsInteger="1" minValue="41100587206" maxValue="846000000000"/>
    </cacheField>
    <cacheField name="product_type" numFmtId="0">
      <sharedItems containsBlank="1"/>
    </cacheField>
    <cacheField name="event_id" numFmtId="0">
      <sharedItems containsString="0" containsBlank="1" containsNumber="1" containsInteger="1" minValue="62854" maxValue="95897"/>
    </cacheField>
    <cacheField name="recalling_firm" numFmtId="0">
      <sharedItems containsBlank="1"/>
    </cacheField>
    <cacheField name="address_1" numFmtId="0">
      <sharedItems containsBlank="1"/>
    </cacheField>
    <cacheField name="address_2" numFmtId="0">
      <sharedItems containsBlank="1"/>
    </cacheField>
    <cacheField name="postal_code" numFmtId="0">
      <sharedItems containsBlank="1" containsMixedTypes="1" containsNumber="1" containsInteger="1" minValue="23233" maxValue="95816"/>
    </cacheField>
    <cacheField name="voluntary_mandated" numFmtId="0">
      <sharedItems containsBlank="1"/>
    </cacheField>
    <cacheField name="initial_firm_notification" numFmtId="0">
      <sharedItems containsBlank="1"/>
    </cacheField>
    <cacheField name="distribution_pattern" numFmtId="0">
      <sharedItems containsBlank="1" longText="1"/>
    </cacheField>
    <cacheField name="recall_number" numFmtId="0">
      <sharedItems containsBlank="1"/>
    </cacheField>
    <cacheField name="product_description" numFmtId="0">
      <sharedItems containsBlank="1" longText="1"/>
    </cacheField>
    <cacheField name="product_quantity" numFmtId="0">
      <sharedItems containsBlank="1" containsMixedTypes="1" containsNumber="1" containsInteger="1" minValue="49" maxValue="49"/>
    </cacheField>
    <cacheField name="reason_for_recall" numFmtId="0">
      <sharedItems containsBlank="1"/>
    </cacheField>
    <cacheField name="recall_initiation_date" numFmtId="0">
      <sharedItems containsString="0" containsBlank="1" containsNumber="1" containsInteger="1" minValue="20120815" maxValue="20241127"/>
    </cacheField>
    <cacheField name="center_classification_date" numFmtId="0">
      <sharedItems containsString="0" containsBlank="1" containsNumber="1" containsInteger="1" minValue="20121024" maxValue="20241205"/>
    </cacheField>
    <cacheField name="termination_date" numFmtId="0">
      <sharedItems containsBlank="1" containsMixedTypes="1" containsNumber="1" containsInteger="1" minValue="20140211" maxValue="20241213"/>
    </cacheField>
    <cacheField name="report_date" numFmtId="0">
      <sharedItems containsString="0" containsBlank="1" containsNumber="1" containsInteger="1" minValue="20121031" maxValue="20241211"/>
    </cacheField>
    <cacheField name="code_info" numFmtId="0">
      <sharedItems containsBlank="1" longText="1"/>
    </cacheField>
    <cacheField name="more_code_info" numFmtId="0">
      <sharedItems containsBlank="1"/>
    </cacheField>
    <cacheField name="openfda/product_ndc/1" numFmtId="0">
      <sharedItems containsBlank="1"/>
    </cacheField>
    <cacheField name="openfda/product_ndc/2" numFmtId="0">
      <sharedItems containsBlank="1"/>
    </cacheField>
    <cacheField name="openfda/rxcui/2" numFmtId="0">
      <sharedItems containsBlank="1" containsMixedTypes="1" containsNumber="1" containsInteger="1" minValue="310809" maxValue="2395829"/>
    </cacheField>
    <cacheField name="openfda/package_ndc/1" numFmtId="0">
      <sharedItems containsBlank="1" containsMixedTypes="1" containsNumber="1" containsInteger="1" minValue="3006505180" maxValue="3006505180"/>
    </cacheField>
    <cacheField name="openfda/package_ndc/2" numFmtId="0">
      <sharedItems containsBlank="1"/>
    </cacheField>
    <cacheField name="openfda/package_ndc/3" numFmtId="0">
      <sharedItems containsBlank="1"/>
    </cacheField>
    <cacheField name="openfda/package_ndc/4" numFmtId="0">
      <sharedItems containsBlank="1"/>
    </cacheField>
    <cacheField name="openfda/package_ndc/5" numFmtId="0">
      <sharedItems containsBlank="1"/>
    </cacheField>
    <cacheField name="openfda/package_ndc/6" numFmtId="0">
      <sharedItems containsBlank="1"/>
    </cacheField>
    <cacheField name="openfda/package_ndc/7" numFmtId="0">
      <sharedItems containsBlank="1"/>
    </cacheField>
    <cacheField name="openfda/package_ndc/8" numFmtId="0">
      <sharedItems containsBlank="1"/>
    </cacheField>
    <cacheField name="openfda/package_ndc/9" numFmtId="0">
      <sharedItems containsBlank="1"/>
    </cacheField>
    <cacheField name="openfda/package_ndc/10" numFmtId="0">
      <sharedItems containsBlank="1"/>
    </cacheField>
    <cacheField name="openfda/package_ndc/11" numFmtId="0">
      <sharedItems containsBlank="1"/>
    </cacheField>
    <cacheField name="openfda/route/1" numFmtId="0">
      <sharedItems containsBlank="1"/>
    </cacheField>
    <cacheField name="openfda/upc/1" numFmtId="0">
      <sharedItems containsBlank="1" containsMixedTypes="1" containsNumber="1" containsInteger="1" minValue="41100589613" maxValue="846000000000"/>
    </cacheField>
    <cacheField name="openfda/upc/2" numFmtId="0">
      <sharedItems containsBlank="1" containsMixedTypes="1" containsNumber="1" containsInteger="1" minValue="41100585943" maxValue="368000000000"/>
    </cacheField>
    <cacheField name="openfda/product_ndc/3" numFmtId="0">
      <sharedItems containsBlank="1"/>
    </cacheField>
    <cacheField name="openfda/product_ndc/4" numFmtId="0">
      <sharedItems containsBlank="1"/>
    </cacheField>
    <cacheField name="openfda/package_ndc/12" numFmtId="0">
      <sharedItems containsBlank="1"/>
    </cacheField>
    <cacheField name="openfda/package_ndc/13" numFmtId="0">
      <sharedItems containsBlank="1"/>
    </cacheField>
    <cacheField name="openfda/package_ndc/14" numFmtId="0">
      <sharedItems containsBlank="1"/>
    </cacheField>
    <cacheField name="openfda/package_ndc/15" numFmtId="0">
      <sharedItems containsBlank="1"/>
    </cacheField>
    <cacheField name="openfda/package_ndc/16" numFmtId="0">
      <sharedItems containsBlank="1"/>
    </cacheField>
    <cacheField name="openfda/package_ndc/17" numFmtId="0">
      <sharedItems containsBlank="1"/>
    </cacheField>
    <cacheField name="openfda/package_ndc/18" numFmtId="0">
      <sharedItems containsBlank="1"/>
    </cacheField>
    <cacheField name="openfda/package_ndc/19" numFmtId="0">
      <sharedItems containsBlank="1"/>
    </cacheField>
    <cacheField name="openfda/rxcui/3" numFmtId="0">
      <sharedItems containsBlank="1" containsMixedTypes="1" containsNumber="1" containsInteger="1" minValue="476351" maxValue="2395831"/>
    </cacheField>
    <cacheField name="openfda/nui/0" numFmtId="0">
      <sharedItems containsBlank="1"/>
    </cacheField>
    <cacheField name="openfda/nui/1" numFmtId="0">
      <sharedItems containsBlank="1"/>
    </cacheField>
    <cacheField name="openfda/pharm_class_cs/0" numFmtId="0">
      <sharedItems containsBlank="1"/>
    </cacheField>
    <cacheField name="openfda/pharm_class_epc/0" numFmtId="0">
      <sharedItems containsBlank="1"/>
    </cacheField>
    <cacheField name="openfda/product_ndc/5" numFmtId="0">
      <sharedItems containsBlank="1"/>
    </cacheField>
    <cacheField name="openfda/product_ndc/6" numFmtId="0">
      <sharedItems containsBlank="1"/>
    </cacheField>
    <cacheField name="openfda/product_ndc/7" numFmtId="0">
      <sharedItems containsBlank="1"/>
    </cacheField>
    <cacheField name="openfda/product_ndc/8" numFmtId="0">
      <sharedItems containsBlank="1"/>
    </cacheField>
    <cacheField name="openfda/product_ndc/9" numFmtId="0">
      <sharedItems containsBlank="1"/>
    </cacheField>
    <cacheField name="openfda/product_ndc/10" numFmtId="0">
      <sharedItems containsBlank="1"/>
    </cacheField>
    <cacheField name="openfda/product_ndc/11" numFmtId="0">
      <sharedItems containsBlank="1"/>
    </cacheField>
    <cacheField name="openfda/rxcui/4" numFmtId="0">
      <sharedItems containsBlank="1" containsMixedTypes="1" containsNumber="1" containsInteger="1" minValue="577961" maxValue="2395832"/>
    </cacheField>
    <cacheField name="openfda/rxcui/5" numFmtId="0">
      <sharedItems containsBlank="1" containsMixedTypes="1" containsNumber="1" containsInteger="1" minValue="597977" maxValue="2395834"/>
    </cacheField>
    <cacheField name="openfda/rxcui/6" numFmtId="0">
      <sharedItems containsBlank="1" containsMixedTypes="1" containsNumber="1" containsInteger="1" minValue="205964" maxValue="1724276"/>
    </cacheField>
    <cacheField name="openfda/rxcui/7" numFmtId="0">
      <sharedItems containsBlank="1" containsMixedTypes="1" containsNumber="1" containsInteger="1" minValue="309335" maxValue="1724383"/>
    </cacheField>
    <cacheField name="openfda/rxcui/8" numFmtId="0">
      <sharedItems containsBlank="1" containsMixedTypes="1" containsNumber="1" containsInteger="1" minValue="309336" maxValue="1724644"/>
    </cacheField>
    <cacheField name="openfda/rxcui/9" numFmtId="0">
      <sharedItems containsBlank="1" containsMixedTypes="1" containsNumber="1" containsInteger="1" minValue="309339" maxValue="966249"/>
    </cacheField>
    <cacheField name="openfda/rxcui/10" numFmtId="0">
      <sharedItems containsBlank="1" containsMixedTypes="1" containsNumber="1" containsInteger="1" minValue="597993" maxValue="966253"/>
    </cacheField>
    <cacheField name="openfda/rxcui/11" numFmtId="0">
      <sharedItems containsBlank="1" containsMixedTypes="1" containsNumber="1" containsInteger="1" minValue="685576" maxValue="966270"/>
    </cacheField>
    <cacheField name="openfda/package_ndc/20" numFmtId="0">
      <sharedItems containsBlank="1"/>
    </cacheField>
    <cacheField name="openfda/package_ndc/21" numFmtId="0">
      <sharedItems containsBlank="1"/>
    </cacheField>
    <cacheField name="openfda/package_ndc/22" numFmtId="0">
      <sharedItems containsBlank="1"/>
    </cacheField>
    <cacheField name="openfda/package_ndc/23" numFmtId="0">
      <sharedItems containsBlank="1"/>
    </cacheField>
    <cacheField name="openfda/upc/3" numFmtId="0">
      <sharedItems containsBlank="1" containsMixedTypes="1" containsNumber="1" containsInteger="1" minValue="301000000000" maxValue="344000000000"/>
    </cacheField>
    <cacheField name="openfda/upc/4" numFmtId="0">
      <sharedItems containsBlank="1" containsMixedTypes="1" containsNumber="1" containsInteger="1" minValue="305000000000" maxValue="344000000000"/>
    </cacheField>
    <cacheField name="openfda/upc/5" numFmtId="0">
      <sharedItems containsBlank="1" containsMixedTypes="1" containsNumber="1" containsInteger="1" minValue="305000000000" maxValue="344000000000"/>
    </cacheField>
    <cacheField name="openfda/upc/6" numFmtId="0">
      <sharedItems containsBlank="1" containsMixedTypes="1" containsNumber="1" containsInteger="1" minValue="317000000000" maxValue="344000000000"/>
    </cacheField>
    <cacheField name="openfda/upc/7" numFmtId="0">
      <sharedItems containsBlank="1" containsMixedTypes="1" containsNumber="1" containsInteger="1" minValue="317000000000" maxValue="344000000000"/>
    </cacheField>
    <cacheField name="openfda/upc/8" numFmtId="0">
      <sharedItems containsBlank="1" containsMixedTypes="1" containsNumber="1" containsInteger="1" minValue="317000000000" maxValue="344000000000"/>
    </cacheField>
    <cacheField name="openfda/upc/9" numFmtId="0">
      <sharedItems containsBlank="1" containsMixedTypes="1" containsNumber="1" containsInteger="1" minValue="317000000000" maxValue="317000000000"/>
    </cacheField>
    <cacheField name="openfda/upc/10" numFmtId="0">
      <sharedItems containsBlank="1" containsMixedTypes="1" containsNumber="1" containsInteger="1" minValue="317000000000" maxValue="317000000000"/>
    </cacheField>
    <cacheField name="openfda/upc/11" numFmtId="0">
      <sharedItems containsBlank="1" containsMixedTypes="1" containsNumber="1" containsInteger="1" minValue="317000000000" maxValue="317000000000"/>
    </cacheField>
    <cacheField name="openfda/substance_name/1" numFmtId="0">
      <sharedItems containsBlank="1"/>
    </cacheField>
    <cacheField name="openfda/substance_name/2" numFmtId="0">
      <sharedItems containsBlank="1"/>
    </cacheField>
    <cacheField name="openfda/nui/2" numFmtId="0">
      <sharedItems containsBlank="1"/>
    </cacheField>
    <cacheField name="openfda/nui/3" numFmtId="0">
      <sharedItems containsBlank="1"/>
    </cacheField>
    <cacheField name="openfda/pharm_class_pe/0" numFmtId="0">
      <sharedItems containsBlank="1"/>
    </cacheField>
    <cacheField name="openfda/pharm_class_pe/1" numFmtId="0">
      <sharedItems containsBlank="1"/>
    </cacheField>
    <cacheField name="openfda/unii/1" numFmtId="0">
      <sharedItems containsBlank="1"/>
    </cacheField>
    <cacheField name="openfda/unii/2" numFmtId="0">
      <sharedItems containsBlank="1"/>
    </cacheField>
    <cacheField name="openfda/original_packager_product_ndc/0" numFmtId="0">
      <sharedItems containsBlank="1"/>
    </cacheField>
    <cacheField name="openfda/original_packager_product_ndc/1" numFmtId="0">
      <sharedItems containsBlank="1"/>
    </cacheField>
    <cacheField name="openfda/original_packager_product_ndc/2" numFmtId="0">
      <sharedItems containsBlank="1"/>
    </cacheField>
    <cacheField name="openfda/package_ndc/24" numFmtId="0">
      <sharedItems containsBlank="1"/>
    </cacheField>
    <cacheField name="openfda/package_ndc/25" numFmtId="0">
      <sharedItems containsBlank="1"/>
    </cacheField>
    <cacheField name="openfda/package_ndc/26" numFmtId="0">
      <sharedItems containsBlank="1"/>
    </cacheField>
    <cacheField name="openfda/package_ndc/27" numFmtId="0">
      <sharedItems containsBlank="1"/>
    </cacheField>
    <cacheField name="openfda/package_ndc/28" numFmtId="0">
      <sharedItems containsBlank="1"/>
    </cacheField>
    <cacheField name="openfda/package_ndc/29" numFmtId="0">
      <sharedItems containsBlank="1"/>
    </cacheField>
    <cacheField name="openfda/package_ndc/30" numFmtId="0">
      <sharedItems containsBlank="1" containsMixedTypes="1" containsNumber="1" containsInteger="1" minValue="57317698" maxValue="57317698"/>
    </cacheField>
    <cacheField name="openfda/package_ndc/31" numFmtId="0">
      <sharedItems containsBlank="1"/>
    </cacheField>
    <cacheField name="openfda/package_ndc/32" numFmtId="0">
      <sharedItems containsBlank="1"/>
    </cacheField>
    <cacheField name="openfda/package_ndc/33" numFmtId="0">
      <sharedItems containsBlank="1"/>
    </cacheField>
    <cacheField name="openfda/package_ndc/34" numFmtId="0">
      <sharedItems containsBlank="1"/>
    </cacheField>
    <cacheField name="openfda/package_ndc/35" numFmtId="0">
      <sharedItems containsBlank="1"/>
    </cacheField>
    <cacheField name="openfda/package_ndc/36" numFmtId="0">
      <sharedItems containsBlank="1"/>
    </cacheField>
    <cacheField name="openfda/package_ndc/37" numFmtId="0">
      <sharedItems containsBlank="1"/>
    </cacheField>
    <cacheField name="openfda/package_ndc/38" numFmtId="0">
      <sharedItems containsBlank="1"/>
    </cacheField>
    <cacheField name="openfda/package_ndc/39" numFmtId="0">
      <sharedItems containsBlank="1"/>
    </cacheField>
    <cacheField name="openfda/package_ndc/40" numFmtId="0">
      <sharedItems containsBlank="1"/>
    </cacheField>
    <cacheField name="openfda/package_ndc/41" numFmtId="0">
      <sharedItems containsBlank="1"/>
    </cacheField>
    <cacheField name="openfda/package_ndc/42" numFmtId="0">
      <sharedItems containsBlank="1"/>
    </cacheField>
    <cacheField name="openfda/package_ndc/43" numFmtId="0">
      <sharedItems containsBlank="1"/>
    </cacheField>
    <cacheField name="openfda/pharm_class_moa/0" numFmtId="0">
      <sharedItems containsBlank="1"/>
    </cacheField>
    <cacheField name="openfda/rxcui/12" numFmtId="0">
      <sharedItems containsBlank="1" containsMixedTypes="1" containsNumber="1" containsInteger="1" minValue="685578" maxValue="685578"/>
    </cacheField>
    <cacheField name="openfda/rxcui/13" numFmtId="0">
      <sharedItems containsBlank="1" containsMixedTypes="1" containsNumber="1" containsInteger="1" minValue="706461" maxValue="706461"/>
    </cacheField>
    <cacheField name="openfda/route/2" numFmtId="0">
      <sharedItems containsBlank="1"/>
    </cacheField>
    <cacheField name="openfda/original_packager_product_ndc/3" numFmtId="0">
      <sharedItems containsBlank="1"/>
    </cacheField>
    <cacheField name="openfda/pharm_class_epc/1" numFmtId="0">
      <sharedItems containsBlank="1"/>
    </cacheField>
    <cacheField name="openfda/pharm_class_moa/1" numFmtId="0">
      <sharedItems containsBlank="1"/>
    </cacheField>
    <cacheField name="openfda/substance_name/3" numFmtId="0">
      <sharedItems containsBlank="1"/>
    </cacheField>
    <cacheField name="openfda/unii/3" numFmtId="0">
      <sharedItems containsBlank="1"/>
    </cacheField>
    <cacheField name="openfda/substance_name/4" numFmtId="0">
      <sharedItems containsBlank="1"/>
    </cacheField>
    <cacheField name="openfda/unii/4" numFmtId="0">
      <sharedItems containsBlank="1"/>
    </cacheField>
    <cacheField name="openfda/nui/4" numFmtId="0">
      <sharedItems containsBlank="1"/>
    </cacheField>
    <cacheField name="openfda/nui/5" numFmtId="0">
      <sharedItems containsBlank="1"/>
    </cacheField>
    <cacheField name="openfda/pharm_class_epc/2" numFmtId="0">
      <sharedItems containsBlank="1"/>
    </cacheField>
  </cacheFields>
  <extLst>
    <ext xmlns:x14="http://schemas.microsoft.com/office/spreadsheetml/2009/9/main" uri="{725AE2AE-9491-48be-B2B4-4EB974FC3084}">
      <x14:pivotCacheDefinition pivotCacheId="18717303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
  <r>
    <x v="0"/>
    <s v="Whippany"/>
    <x v="0"/>
    <s v="United States"/>
    <x v="0"/>
    <s v="M005"/>
    <s v="TINACTIN"/>
    <s v="TOLNAFTATE"/>
    <s v="Bayer HealthCare LLC."/>
    <s v="11523-0777"/>
    <s v="HUMAN OTC DRUG"/>
    <s v="TOPICAL"/>
    <s v="TOLNAFTATE"/>
    <n v="705934"/>
    <n v="705936"/>
    <s v="289df0b8-dadb-2f63-e063-6394a90aa6f4"/>
    <s v="00a17e61-0d91-41e0-9cbe-c7c0b3093f3c"/>
    <s v="11523-0777-2"/>
    <b v="1"/>
    <s v="06KB629TKV"/>
    <n v="311000000000"/>
    <s v="Drugs"/>
    <n v="88677"/>
    <s v="Bayer Healthcare Pharmaceuticals Inc."/>
    <s v="100 Bayer Blvd"/>
    <s v="N/A"/>
    <s v="07981-1544"/>
    <s v="Voluntary: Firm initiated"/>
    <s v="Press Release"/>
    <s v="Distributed Nationwide in the US, Puerto Rico, Canada and Mexico through a variety of retail channels."/>
    <s v="D-0253-2022"/>
    <s v="Tinactin (Tolnaftate 1%) POWDER SPRAY NET WT 133g (4.6 oz) can, labeled as (a) Product of  Ireland 86940418; (b)Product of Finland 20006106; Dist by: Bayer Healthcare LLC, Whippany, NJ 07981, Product of Finland, UPC 3 11017 41009 7, NDC 11523-0777-2."/>
    <s v="2,841,012 cans"/>
    <s v="Chemical Contamination: presence of benzene"/>
    <n v="20211001"/>
    <n v="20211118"/>
    <n v="20230626"/>
    <n v="20211124"/>
    <s v="Lot # (a)CV015YS, EXP 9/30/2021  (b) TN008CT, TN007TJ, EXP 3/31/2023"/>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Athens"/>
    <x v="1"/>
    <s v="United States"/>
    <x v="1"/>
    <s v="Unknown"/>
    <s v="Unknown"/>
    <s v="Unknown"/>
    <s v="Unknown"/>
    <s v="Unknown"/>
    <s v="Unknown"/>
    <s v="Unknown"/>
    <s v="Unknown"/>
    <s v="Unknown"/>
    <s v="Unknown"/>
    <s v="Unknown"/>
    <s v="Unknown"/>
    <s v="Unknown"/>
    <s v="Unknown"/>
    <s v="Unknown"/>
    <s v="Unknown"/>
    <s v="Drugs"/>
    <n v="95826"/>
    <s v="Midlab Incorporated"/>
    <s v="140 Private Brand Way"/>
    <s v="Unknown"/>
    <s v="37303-1401"/>
    <s v="Voluntary: Firm initiated"/>
    <s v="Letter"/>
    <s v="Nationwide in the USA"/>
    <s v="D-0090-2025"/>
    <s v="ROYALAB Germ Away Antibacterial Hand Soap, Chloroxylenol 0.1%, NET CONTENTS: ONE U.S. GALLON (3.78 L), Royal Papers, 2701 Hereford St., St. Louis, MO 63139"/>
    <s v="Unknown"/>
    <s v="cGMP Deviations: Out of specification results for micro in hand soap products."/>
    <n v="20241106"/>
    <n v="20241202"/>
    <s v="Unknown"/>
    <n v="20241211"/>
    <s v="Lot 0711241"/>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East Windsor"/>
    <x v="0"/>
    <s v="United States"/>
    <x v="1"/>
    <s v="ANDA206125"/>
    <s v="CINACALCET"/>
    <s v="CINACALCET"/>
    <s v="Aurobindo Pharma Limited"/>
    <s v="65862-831"/>
    <s v="HUMAN PRESCRIPTION DRUG"/>
    <s v="ORAL"/>
    <s v="CINACALCET HYDROCHLORIDE"/>
    <n v="432400"/>
    <n v="432401"/>
    <s v="5aadf0b6-2c49-48d4-8d22-2fbf99dbf4e6"/>
    <s v="42e99112-c402-4662-877f-9e3a84dff9f2"/>
    <s v="65862-831-30"/>
    <b v="1"/>
    <s v="1K860WSG25"/>
    <s v="Unknown"/>
    <s v="Drugs"/>
    <n v="95730"/>
    <s v="Aurobindo Pharma USA Inc"/>
    <s v="279 Princeton Hightstown Rd"/>
    <s v="Unknown"/>
    <s v="08520-1401"/>
    <s v="Voluntary: Firm initiated"/>
    <s v="Letter"/>
    <s v="USA Nationwide"/>
    <s v="D-0078-2025"/>
    <s v="Cinacalcet Tablets, 60mg, packaged in: a) 30-count HDPE bottle (NDC 65862-832-30), b) 500-count HDPE bottle (NDC 65862-832-05), Rx Only, Distributed by: Aurobindo Pharma USA, Inc. 279 Princeton-Hightstown Road, East Windsor, NJ 08520, Made in India."/>
    <s v="3336 bottles"/>
    <s v="cGMP Deviations: Presence of N-nitroso Cinacalcet impurity above FDA recommended interim limit"/>
    <n v="20241107"/>
    <n v="20241129"/>
    <s v="Unknown"/>
    <n v="20241211"/>
    <s v="Lot #: a) CFSB23001A, Exp 03/31/2025, CFSB23002A, Exp 07/31/2025; CFSB23003A, Exp 10/31/2025; CFSB23004A, Exp 10/31/2025; b) P2300196, 12/31/2024"/>
    <s v="Unknown"/>
    <s v="65862-832"/>
    <s v="65862-833"/>
    <n v="432402"/>
    <s v="65862-831-90"/>
    <s v="65862-831-01"/>
    <s v="65862-831-05"/>
    <s v="65862-832-30"/>
    <s v="65862-832-90"/>
    <s v="65862-832-01"/>
    <s v="65862-832-05"/>
    <s v="65862-833-30"/>
    <s v="65862-833-90"/>
    <s v="65862-833-01"/>
    <s v="65862-833-05"/>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Lake Forest"/>
    <x v="2"/>
    <s v="United States"/>
    <x v="1"/>
    <s v="ANDA077548"/>
    <s v="ONDANSETRON"/>
    <s v="ONDANSETRON"/>
    <s v="Hospira, Inc."/>
    <s v="0409-4755"/>
    <s v="HUMAN PRESCRIPTION DRUG"/>
    <s v="INTRAMUSCULAR"/>
    <s v="ONDANSETRON HYDROCHLORIDE"/>
    <s v="Unknown"/>
    <s v="Unknown"/>
    <s v="4f088755-91df-4db6-bad7-496cd0fb778a"/>
    <s v="6a11f61b-2318-4382-2b91-4366e4bb53fa"/>
    <s v="0409-4755-18"/>
    <b v="1"/>
    <s v="NMH84OZK2B"/>
    <s v="Unknown"/>
    <s v="Drugs"/>
    <n v="65300"/>
    <s v="Hospira, Inc."/>
    <s v="600 N Field Dr Bldg J45"/>
    <s v="N/A"/>
    <n v="60045"/>
    <s v="Voluntary: Firm initiated"/>
    <s v="Letter"/>
    <s v="Nationwide"/>
    <s v="D-851-2013"/>
    <s v="Ondansetron Injection, USP, 4mg/2mL, (2mg/ml), 2mL single-dose Fliptop Vial, Rx only, Sterile, NDC 0409-4755-03, Hospira, Inc, Lake Forest, IL 60045."/>
    <s v="340,600 vials"/>
    <s v="Presence of Particulate; lot being recalled as a precaution due to the discovery of 2 particles found in a lot which preceded the recalled lot"/>
    <n v="20130520"/>
    <n v="20130807"/>
    <n v="20141028"/>
    <n v="20130814"/>
    <s v="Lot 25394DK, exp. 01/2015"/>
    <s v="Unknown"/>
    <s v="0409-4759"/>
    <s v="Unknown"/>
    <s v="Unknown"/>
    <s v="0409-4755-03"/>
    <s v="0409-4759-01"/>
    <s v="Unknown"/>
    <s v="Unknown"/>
    <s v="Unknown"/>
    <s v="Unknown"/>
    <s v="Unknown"/>
    <s v="Unknown"/>
    <s v="Unknown"/>
    <s v="Unknown"/>
    <s v="Unknown"/>
    <s v="INTRAVENOUS"/>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Whippany"/>
    <x v="0"/>
    <s v="United States"/>
    <x v="1"/>
    <s v="M005"/>
    <s v="TINACTIN"/>
    <s v="TOLNAFTATE"/>
    <s v="Bayer HealthCare LLC."/>
    <s v="11523-4162"/>
    <s v="HUMAN OTC DRUG"/>
    <s v="TOPICAL"/>
    <s v="TOLNAFTATE"/>
    <n v="705934"/>
    <n v="705936"/>
    <s v="289f4a63-0291-b92a-e063-6394a90a6625"/>
    <s v="5f95be36-6efa-4dfb-9a40-88f4ce1de2b3"/>
    <s v="11523-4162-1"/>
    <b v="1"/>
    <s v="06KB629TKV"/>
    <n v="311000000000"/>
    <s v="Drugs"/>
    <n v="88677"/>
    <s v="Bayer Healthcare Pharmaceuticals Inc."/>
    <s v="100 Bayer Blvd"/>
    <s v="N/A"/>
    <s v="07981-1544"/>
    <s v="Voluntary: Firm initiated"/>
    <s v="Press Release"/>
    <s v="Distributed Nationwide in the US, Puerto Rico, Canada and Mexico through a variety of retail channels."/>
    <s v="D-0242-2022"/>
    <s v="Tinactin (Tolnaftate 1%) DEODORANT POWDER SPRAY NET WT 133g (4.6 OZ) can, labeled as (a) UPC 3 11017-410-00 4, NDC 11523-4162-1, Product of Finland 86568411; (b) UPC 3 11017 41000 4, NDC 11523-4162-1, Product of Finland 20006105; Dist by: Bayer Healthcare LLC, Whippany, NJ 07981"/>
    <s v="738,432 cans"/>
    <s v="cGMP Deviations: manufactured at the same facility where other lots were found to be contaminated with benzene."/>
    <n v="20211001"/>
    <n v="20211118"/>
    <n v="20230626"/>
    <n v="20211124"/>
    <s v="Lot # (a) TN004BW, EXP 7/31/2022,   (b) TN00678, EXP 8/31/2022; TN00679, EXP 9/30/2022;"/>
    <s v="Unknown"/>
    <s v="Unknown"/>
    <s v="Unknown"/>
    <s v="Unknown"/>
    <s v="11017-410-00"/>
    <s v="Unknown"/>
    <s v="Unknown"/>
    <s v="Unknown"/>
    <s v="Unknown"/>
    <s v="Unknown"/>
    <s v="Unknown"/>
    <s v="Unknown"/>
    <s v="Unknown"/>
    <s v="Unknown"/>
    <s v="Unknown"/>
    <s v="Unknown"/>
    <n v="31100000000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Mahwah"/>
    <x v="0"/>
    <s v="United States"/>
    <x v="1"/>
    <s v="ANDA212317"/>
    <s v="DILTIAZEM HYDROCHLORIDE"/>
    <s v="DILTIAZEM HYDROCHLORIDE"/>
    <s v="GLENMARK PHARMACEUTICALS INC., USA"/>
    <s v="68462-562"/>
    <s v="HUMAN PRESCRIPTION DRUG"/>
    <s v="ORAL"/>
    <s v="DILTIAZEM HYDROCHLORIDE"/>
    <n v="830865"/>
    <n v="830869"/>
    <s v="52b392c0-72cb-4a91-8d27-5cacdb8a7778"/>
    <s v="fb1606ea-1cff-46fd-b8e5-8135da76436c"/>
    <s v="68462-850-01"/>
    <b v="1"/>
    <s v="OLH94387TE"/>
    <n v="368000000000"/>
    <s v="Drugs"/>
    <n v="95660"/>
    <s v="Glenmark Pharmaceuticals Inc., USA"/>
    <s v="750 Corporate Dr"/>
    <s v="Unknown"/>
    <s v="07430-2009"/>
    <s v="Voluntary: Firm initiated"/>
    <s v="Letter"/>
    <s v="Nationwide in the USA"/>
    <s v="D-0095-2025"/>
    <s v="Diltiazem Hydrochloride Extended-Release Capsules, USP 120 mg, Rx Only, 100 Capsules, Manufactured for: Glenmark Pharmaceuticals Inc., USA, Mahwah, NJ 07430, Product of India, NDC 68462-562-01."/>
    <s v="25584 bottles"/>
    <s v="cGMP Deviations: Presence of N-nitroso-Desmethyl-Diltiazem impurity above FDA recommended interim limit."/>
    <n v="20241101"/>
    <n v="20241203"/>
    <s v="Unknown"/>
    <n v="20241211"/>
    <s v="Lot #: 17222470, 17230680, 17222547, Exp. Date 11/30/2024; 17230304, Exp. Date, 12/31/2024; 17230598, Exp. Date, 02/2025."/>
    <s v="Unknown"/>
    <s v="68462-850"/>
    <s v="68462-851"/>
    <n v="830872"/>
    <s v="68462-851-01"/>
    <s v="68462-562-01"/>
    <s v="Unknown"/>
    <s v="Unknown"/>
    <s v="Unknown"/>
    <s v="Unknown"/>
    <s v="Unknown"/>
    <s v="Unknown"/>
    <s v="Unknown"/>
    <s v="Unknown"/>
    <s v="Unknown"/>
    <s v="Unknown"/>
    <n v="368000000000"/>
    <n v="36800000000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Zebulon"/>
    <x v="3"/>
    <s v="United States"/>
    <x v="2"/>
    <s v="M001"/>
    <s v="TUMS"/>
    <s v="CALCIUM CARBONATE"/>
    <s v="Haleon US Holdings LLC"/>
    <s v="0135-0118"/>
    <s v="HUMAN OTC DRUG"/>
    <s v="ORAL"/>
    <s v="CALCIUM CARBONATE"/>
    <n v="308892"/>
    <n v="1044524"/>
    <s v="5588a55e-0349-469e-9fee-1cc0c9429966"/>
    <s v="f4786707-a0f7-4ba8-9656-06278d1b4b6c"/>
    <s v="0135-0118-01"/>
    <b v="1"/>
    <s v="H0G9379FGK"/>
    <s v="Unknown"/>
    <s v="Drugs"/>
    <n v="65856"/>
    <s v="GlaxoSmithKline, LLC."/>
    <s v="1011 North Arendell Ave"/>
    <s v="N/A"/>
    <s v="27597-1217"/>
    <s v="Voluntary: Firm initiated"/>
    <s v="Letter"/>
    <s v="U.S. Nationwide"/>
    <s v="D-850-2013"/>
    <s v="TUMS, Antacid/Calcium Supplement, ULTRA Strength 1000, Assorted Berries, 72 Chewable Tablets, GlaxoSmithKline, Moon Twp, PA 15108,  NDC 0135-0181-02"/>
    <s v="300,480 bottles"/>
    <s v="Presence of Foreign Tablets/Capsules: Product labeled TUMS Ultra Assorted Berries 1000mg Chewable tables, may contain EX TUMS Assorted Berries 750mg tablets"/>
    <n v="20130718"/>
    <n v="20130807"/>
    <n v="20160518"/>
    <n v="20130814"/>
    <s v="Lot 3C11 and 3C11A"/>
    <s v="Unknown"/>
    <s v="0135-0180"/>
    <s v="0135-0181"/>
    <s v="Unknown"/>
    <s v="0135-0118-04"/>
    <s v="0135-0118-14"/>
    <s v="0135-0118-83"/>
    <s v="0135-0180-01"/>
    <s v="0135-0180-02"/>
    <s v="0135-0180-14"/>
    <s v="0135-0181-01"/>
    <s v="0135-0181-02"/>
    <s v="0135-0181-03"/>
    <s v="0135-0181-05"/>
    <s v="0135-0181-06"/>
    <s v="Unknown"/>
    <s v="Unknown"/>
    <s v="Unknown"/>
    <s v="0135-0228"/>
    <s v="0135-0540"/>
    <s v="0135-0181-07"/>
    <s v="0135-0181-14"/>
    <s v="0135-0228-01"/>
    <s v="0135-0228-04"/>
    <s v="0135-0228-05"/>
    <s v="0135-0228-06"/>
    <s v="0135-0228-07"/>
    <s v="0135-0540-01"/>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Whippany"/>
    <x v="0"/>
    <s v="United States"/>
    <x v="1"/>
    <s v="M005"/>
    <s v="LOTRIMIN DAILY PREVENTION DEO"/>
    <s v="TOLNAFTATE"/>
    <s v="Bayer HealthCare LLC."/>
    <s v="11523-0010"/>
    <s v="HUMAN OTC DRUG"/>
    <s v="TOPICAL"/>
    <s v="TOLNAFTATE"/>
    <n v="705934"/>
    <s v="Unknown"/>
    <s v="289dbd00-e2f2-0998-e063-6394a90ae1a4"/>
    <s v="9e8bfb78-ad81-93d0-e053-2995a90aa41d"/>
    <s v="11523-0010-1"/>
    <b v="1"/>
    <s v="06KB629TKV"/>
    <n v="41100587206"/>
    <s v="Drugs"/>
    <n v="88677"/>
    <s v="Bayer Healthcare Pharmaceuticals Inc."/>
    <s v="100 Bayer Blvd"/>
    <s v="N/A"/>
    <s v="07981-1544"/>
    <s v="Voluntary: Firm initiated"/>
    <s v="Press Release"/>
    <s v="Distributed Nationwide in the US, Puerto Rico, Canada and Mexico through a variety of retail channels."/>
    <s v="D-0240-2022"/>
    <s v="LOTRIMIN AF (Tolnaftate 1%) DAILY PREVENTION deodorant powder spray, NET WT 160g (5.6 OZ) can, packaged as (a) single pack, UPC 0 41100 58720 6, NDC 11523-0010-2; (b) 3-pack, UPC 0 41100 58961 3; Dist by: Bayer Healthcare LLC, Whippany, NJ 07981, Product of Finland,"/>
    <s v="579,456 cans"/>
    <s v="cGMP Deviations: manufactured at the same facility where other lots were found to be contaminated with benzene."/>
    <n v="20211001"/>
    <n v="20211118"/>
    <n v="20230626"/>
    <n v="20211124"/>
    <s v="Lot # (a)TN0023C, EXP 1/31/2022; TN003C7, EXP 4/30/2022; TN00570, EXP 7/31/2022; TN0056Z, TN005KJ, EXP 8/31/2022;  (b)TN0023C, EXP 01/31/2022; TN003C7, EXP 04/30/2022; TN0023DV, TN0023DAV, TN0023DBV, TN0023DC, EXP 02/28/2022; TN005KJ, TN005KJA, TN005KJB, EXP 08/31/2022;"/>
    <s v="Unknown"/>
    <s v="Unknown"/>
    <s v="Unknown"/>
    <s v="Unknown"/>
    <s v="11523-0010-2"/>
    <s v="Unknown"/>
    <s v="Unknown"/>
    <s v="Unknown"/>
    <s v="Unknown"/>
    <s v="Unknown"/>
    <s v="Unknown"/>
    <s v="Unknown"/>
    <s v="Unknown"/>
    <s v="Unknown"/>
    <s v="Unknown"/>
    <s v="Unknown"/>
    <n v="41100589613"/>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Mahwah"/>
    <x v="0"/>
    <s v="United States"/>
    <x v="1"/>
    <s v="ANDA212317"/>
    <s v="DILTIAZEM HYDROCHLORIDE"/>
    <s v="DILTIAZEM HYDROCHLORIDE"/>
    <s v="Northstar Rx LLC"/>
    <s v="16714-553"/>
    <s v="HUMAN PRESCRIPTION DRUG"/>
    <s v="ORAL"/>
    <s v="DILTIAZEM HYDROCHLORIDE"/>
    <n v="830865"/>
    <n v="830869"/>
    <s v="a11626b3-d7a9-43b0-85d4-38a582acd661"/>
    <s v="e2511ffe-5821-4f64-a469-f8ef9618b1b5"/>
    <s v="16714-553-01"/>
    <b v="1"/>
    <s v="OLH94387TE"/>
    <n v="317000000000"/>
    <s v="Drugs"/>
    <n v="95660"/>
    <s v="Glenmark Pharmaceuticals Inc., USA"/>
    <s v="750 Corporate Dr"/>
    <s v="Unknown"/>
    <s v="07430-2009"/>
    <s v="Voluntary: Firm initiated"/>
    <s v="Letter"/>
    <s v="Nationwide in the USA"/>
    <s v="D-0098-2025"/>
    <s v="Diltiazem Hydrochloride Extended-Release Capsules, USP 120mg, Twice-a-Day Dosage, Rx Only, 100 Capsules per bottle, Mfd for: Northstar Rx LLC, Memphis, TN, Mfd by: Glenmark Pharmaceuticals Limited, Pithampur, Madhya Pradesh India, NDC 16714-555-01."/>
    <s v="7296 bottles"/>
    <s v="cGMP Deviations: Presence of N-nitroso-Desmethyl-Diltiazem impurity above FDA recommended interim limit."/>
    <n v="20241101"/>
    <n v="20241203"/>
    <s v="Unknown"/>
    <n v="20241211"/>
    <s v="Lot #:17222547, Exp. Date, 11/30/2024; 17230598, Exp. Date 02/28/2025"/>
    <s v="Unknown"/>
    <s v="16714-554"/>
    <s v="16714-555"/>
    <n v="830872"/>
    <s v="16714-554-01"/>
    <s v="16714-555-01"/>
    <s v="Unknown"/>
    <s v="Unknown"/>
    <s v="Unknown"/>
    <s v="Unknown"/>
    <s v="Unknown"/>
    <s v="Unknown"/>
    <s v="Unknown"/>
    <s v="Unknown"/>
    <s v="Unknown"/>
    <s v="Unknown"/>
    <n v="317000000000"/>
    <n v="31700000000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Shirley"/>
    <x v="4"/>
    <s v="United States"/>
    <x v="1"/>
    <s v="NDA021135"/>
    <s v="VENOFER"/>
    <s v="IRON SUCROSE"/>
    <s v="Fresenius Medical Care Holdings, Inc."/>
    <s v="49230-530"/>
    <s v="HUMAN PRESCRIPTION DRUG"/>
    <s v="INTRAVENOUS"/>
    <s v="IRON SUCROSE"/>
    <n v="1741267"/>
    <n v="1741268"/>
    <s v="d169adb0-d1dc-4c19-99b4-f1dce90db380"/>
    <s v="f1ab1a22-2b99-4d27-8b5a-9c3bcd5e3040"/>
    <s v="49230-530-01"/>
    <b v="1"/>
    <s v="FZ7NYF5N8L"/>
    <n v="349000000000"/>
    <s v="Drugs"/>
    <n v="95711"/>
    <s v="American Regent, Inc."/>
    <s v="5 Ramsey Rd"/>
    <s v="Unknown"/>
    <s v="11967-4701"/>
    <s v="Voluntary: Firm initiated"/>
    <s v="Letter"/>
    <s v="Nationwide in the USA"/>
    <s v="D-0081-2025"/>
    <s v="Venofer (iron sucrose) Injection, USP 50 mg Elemental Iron per 2.5 mL (20 mg/mL), 2.5 mL Single-Dose Vials, Rx Only, For Intravenous Use Only, Distributed by: Fresenius Medical Care NA, Waltham, MA 02451, NDC: 49230-530-01 (vial), NDC: 49230-530-10 (10 x 2.5mL/vial cartons), NDC: 49230-530-25 (25 x 2.5mL/vial cartons)."/>
    <s v="Unknown"/>
    <s v="Presence of Particulate Matter: Potential for glass delamination from the vials."/>
    <n v="20241111"/>
    <n v="20241129"/>
    <s v="Unknown"/>
    <n v="20241211"/>
    <s v="Lot #s: 4206, 4210, Exp 05/31/2026; 4223, Exp 06/30/2026; 24231, 24237, Exp 07/31/2026."/>
    <s v="Unknown"/>
    <s v="49230-534"/>
    <s v="Unknown"/>
    <n v="1741270"/>
    <s v="49230-530-10"/>
    <s v="49230-530-25"/>
    <s v="49230-534-01"/>
    <s v="49230-534-10"/>
    <s v="49230-534-25"/>
    <s v="Unknown"/>
    <s v="Unknown"/>
    <s v="Unknown"/>
    <s v="Unknown"/>
    <s v="Unknown"/>
    <s v="Unknown"/>
    <s v="Unknown"/>
    <n v="349000000000"/>
    <s v="Unknown"/>
    <s v="Unknown"/>
    <s v="Unknown"/>
    <s v="Unknown"/>
    <s v="Unknown"/>
    <s v="Unknown"/>
    <s v="Unknown"/>
    <s v="Unknown"/>
    <s v="Unknown"/>
    <s v="Unknown"/>
    <s v="Unknown"/>
    <n v="1741271"/>
    <s v="M0011718"/>
    <s v="N0000177913"/>
    <s v="Iron [CS]"/>
    <s v="Parenteral Iron Replacement [EPC]"/>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Raleigh"/>
    <x v="3"/>
    <s v="United States"/>
    <x v="1"/>
    <s v="ANDA212399"/>
    <s v="LEVOTHYROXINE SODIUM"/>
    <s v="LEVOTHYROXINE SODIUM"/>
    <s v="Accord Healthcare Inc."/>
    <s v="16729-447"/>
    <s v="HUMAN PRESCRIPTION DRUG"/>
    <s v="ORAL"/>
    <s v="LEVOTHYROXINE SODIUM"/>
    <n v="892246"/>
    <n v="892251"/>
    <s v="26408e81-f136-15ca-e063-6394a90a6fb6"/>
    <s v="a6233381-3043-4e9a-aaa6-a6b105e5142b"/>
    <s v="16729-458-15"/>
    <b v="1"/>
    <s v="9J765S329G"/>
    <n v="317000000000"/>
    <s v="Drugs"/>
    <n v="95747"/>
    <s v="ACCORD HEALTHCARE, INC."/>
    <s v="8041 Arco Corporate Dr Ste 200"/>
    <s v="Unknown"/>
    <s v="27617-2010"/>
    <s v="Voluntary: Firm initiated"/>
    <s v="Letter"/>
    <s v="USA Nationwide"/>
    <s v="D-0076-2025"/>
    <s v="Levothyroxine Sodium Tablets, USP, 75 mcg (0.075 mg), 1000-count bottle, Rx Only, Manufactured for: Accord Healthcare, Inc., Durham, NC 27703, Manufactured by: Intas Pharmaceuticals Limited, Camp Road, Selaqui, Dehradun-248 197, INDIA, NDC 16729-449-17"/>
    <s v="Unknown"/>
    <s v="Subpotent drug"/>
    <n v="20241108"/>
    <n v="20241129"/>
    <s v="Unknown"/>
    <n v="20241211"/>
    <s v="Lot #: D2300191, Exp 12/31/2025"/>
    <s v="Unknown"/>
    <s v="16729-458"/>
    <s v="16729-448"/>
    <n v="892255"/>
    <s v="16729-458-17"/>
    <s v="16729-447-15"/>
    <s v="16729-447-17"/>
    <s v="16729-448-15"/>
    <s v="16729-448-17"/>
    <s v="16729-449-15"/>
    <s v="16729-449-17"/>
    <s v="16729-451-15"/>
    <s v="16729-451-17"/>
    <s v="16729-450-15"/>
    <s v="16729-450-17"/>
    <s v="Unknown"/>
    <n v="317000000000"/>
    <n v="317000000000"/>
    <s v="16729-449"/>
    <s v="16729-451"/>
    <s v="16729-452-15"/>
    <s v="16729-452-17"/>
    <s v="16729-453-15"/>
    <s v="16729-453-17"/>
    <s v="16729-454-15"/>
    <s v="16729-454-17"/>
    <s v="16729-455-15"/>
    <s v="16729-455-17"/>
    <n v="966220"/>
    <s v="Unknown"/>
    <s v="Unknown"/>
    <s v="Unknown"/>
    <s v="Unknown"/>
    <s v="16729-450"/>
    <s v="16729-452"/>
    <s v="16729-453"/>
    <s v="16729-454"/>
    <s v="16729-455"/>
    <s v="16729-456"/>
    <s v="16729-457"/>
    <n v="966221"/>
    <n v="966222"/>
    <n v="966224"/>
    <n v="966225"/>
    <n v="966248"/>
    <n v="966249"/>
    <n v="966253"/>
    <n v="966270"/>
    <s v="16729-456-15"/>
    <s v="16729-456-17"/>
    <s v="16729-457-15"/>
    <s v="16729-457-17"/>
    <n v="317000000000"/>
    <n v="317000000000"/>
    <n v="317000000000"/>
    <n v="317000000000"/>
    <n v="317000000000"/>
    <n v="317000000000"/>
    <n v="317000000000"/>
    <n v="317000000000"/>
    <n v="31700000000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Columbus"/>
    <x v="5"/>
    <s v="United States"/>
    <x v="1"/>
    <s v="ANDA090778"/>
    <s v="DULOXETINE"/>
    <s v="DULOXETINE HYDROCHLORIDE"/>
    <s v="BluePoint"/>
    <s v="68001-413"/>
    <s v="HUMAN PRESCRIPTION DRUG"/>
    <s v="ORAL"/>
    <s v="DULOXETINE HYDROCHLORIDE"/>
    <n v="596926"/>
    <n v="596930"/>
    <s v="1a275613-8b5c-f2f7-e063-6294a90ac153"/>
    <s v="c9492555-6061-47bf-923e-26d4d5528453"/>
    <s v="68001-413-06"/>
    <b v="1"/>
    <s v="9044SC542W"/>
    <n v="368000000000"/>
    <s v="Drugs"/>
    <n v="95849"/>
    <s v="Amerisource Health Services LLC"/>
    <s v="2550 John Glenn Ave Ste A"/>
    <s v="Unknown"/>
    <s v="43217-1188"/>
    <s v="Voluntary: Firm initiated"/>
    <s v="Letter"/>
    <s v="PA, OH, PR"/>
    <s v="D-0100-2025"/>
    <s v="Duloxetine Delayed-Release Capsules, USP, 30 mg, Rx only, a) 30 count (NDC 68001-414-04) and b) 1,000 count (NDC 68001-414-08) bottles, Manufactured by: Aurobindo Pharma Limited, Hyderabad-500 090, India, For BluePoint Laboratories"/>
    <s v="23,490 bottles"/>
    <s v="CGMP Deviations: Presence of N-nitroso-duloxetine impurity above the recommended interim limit"/>
    <n v="20241114"/>
    <n v="20241203"/>
    <s v="Unknown"/>
    <n v="20241211"/>
    <s v="a) 30 count; Lot, expiry: DT3023019B, DT3023020A, exp 01/31/2025 b) 1000 count; Lot, expiry: DTB23098A, exp 08/31/2025"/>
    <s v="Unknown"/>
    <s v="68001-414"/>
    <s v="68001-415"/>
    <n v="596934"/>
    <s v="68001-414-04"/>
    <s v="68001-414-05"/>
    <s v="68001-414-08"/>
    <s v="68001-415-04"/>
    <s v="68001-415-05"/>
    <s v="68001-415-08"/>
    <s v="Unknown"/>
    <s v="Unknown"/>
    <s v="Unknown"/>
    <s v="Unknown"/>
    <s v="Unknown"/>
    <s v="Unknown"/>
    <n v="368000000000"/>
    <n v="36800000000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Pennsauken"/>
    <x v="0"/>
    <s v="United States"/>
    <x v="1"/>
    <s v="Unknown"/>
    <s v="CETACAINE ANESTHETIC"/>
    <s v="BENZOCAINE, BUTAMBEN, AND TETRACAINE HYDROCHLORIDE"/>
    <s v="Cetylite Industries, Inc."/>
    <s v="10223-0202"/>
    <s v="HUMAN PRESCRIPTION DRUG"/>
    <s v="TOPICAL"/>
    <s v="BENZOCAINE"/>
    <n v="543786"/>
    <n v="543789"/>
    <s v="019d3010-af34-465c-b6b0-f89b5eaec099"/>
    <s v="89f262a4-a41b-41d7-806b-61b9b89542f0"/>
    <s v="10223-0202-2"/>
    <b v="1"/>
    <s v="5NF5D4OPCI"/>
    <s v="Unknown"/>
    <s v="Drugs"/>
    <n v="66012"/>
    <s v="Cetylite Industries, Inc."/>
    <s v="9051 River Road"/>
    <s v="N/A"/>
    <s v="08110-3203"/>
    <s v="Voluntary: Firm initiated"/>
    <s v="Letter"/>
    <s v="Nationwide"/>
    <s v="D-019-2014"/>
    <s v="Cetacaine Liquid Topical Anesthetic,  Rx Only, a) 14 g bottle (NDC 10223-0202-2); Kit w/14 g (NDC 10223-0202-3); 30 g bottle (NDC 10223-0202-4) Manufactured by Cetylite Industries, Inc., 9051 River Road Pennsauken, NJ 08110       -"/>
    <s v="30 g - 11403 units; 14 g  - 7338 units 14 g kit - 200 units"/>
    <s v="Subpotent Drug: Cetacaine Topical Anesthetic Liquid is being recalled because one of the three active ingredients, tetracaine, is below the specification limit  at the 21 month stability test point."/>
    <n v="20130402"/>
    <n v="20131126"/>
    <n v="20140801"/>
    <n v="20131204"/>
    <s v="Lot 470  exp.  04/13, 471 exp. 06/13, 472 exp.  10/13"/>
    <s v="Unknown"/>
    <s v="10223-0225"/>
    <s v="10223-0226"/>
    <s v="Unknown"/>
    <s v="10223-0202-4"/>
    <s v="10223-0202-5"/>
    <s v="10223-0202-6"/>
    <s v="10223-0202-7"/>
    <s v="10223-0202-8"/>
    <s v="10223-0225-1"/>
    <s v="10223-0226-1"/>
    <s v="10223-0202-3"/>
    <s v="Unknown"/>
    <s v="Unknown"/>
    <s v="Unknown"/>
    <s v="Unknown"/>
    <s v="Unknown"/>
    <s v="Unknown"/>
    <s v="Unknown"/>
    <s v="Unknown"/>
    <s v="Unknown"/>
    <s v="Unknown"/>
    <s v="Unknown"/>
    <s v="Unknown"/>
    <s v="Unknown"/>
    <s v="Unknown"/>
    <s v="Unknown"/>
    <s v="Unknown"/>
    <s v="Unknown"/>
    <s v="N0000185508"/>
    <s v="N0000175629"/>
    <s v="Allergens [CS]"/>
    <s v="Standardized Chemical Allergen [EPC]"/>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BUTAMBEN"/>
    <s v="TETRACAINE HYDROCHLORIDE"/>
    <s v="N0000184306"/>
    <s v="M0000728"/>
    <s v="Increased Histamine Release [PE]"/>
    <s v="Cell-mediated Immunity [PE]"/>
    <s v="EFW857872Q"/>
    <s v="U3RSY48JW5"/>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Whippany"/>
    <x v="0"/>
    <s v="United States"/>
    <x v="1"/>
    <s v="M005"/>
    <s v="LOTRIMIN"/>
    <s v="MICONAZOLE NITRATE"/>
    <s v="Bayer HealthCare LLC."/>
    <s v="11523-0544"/>
    <s v="HUMAN OTC DRUG"/>
    <s v="TOPICAL"/>
    <s v="MICONAZOLE NITRATE"/>
    <n v="998428"/>
    <s v="Unknown"/>
    <s v="289dd4d1-bed5-42a7-e063-6394a90ace68"/>
    <s v="3650ee3d-b285-46b9-a80b-e868f22053aa"/>
    <s v="11523-0544-2"/>
    <b v="1"/>
    <s v="VW4H1CYW1K"/>
    <n v="311000000000"/>
    <s v="Drugs"/>
    <n v="88677"/>
    <s v="Bayer Healthcare Pharmaceuticals Inc."/>
    <s v="100 Bayer Blvd"/>
    <s v="N/A"/>
    <s v="07981-1544"/>
    <s v="Voluntary: Firm initiated"/>
    <s v="Press Release"/>
    <s v="Distributed Nationwide in the US, Puerto Rico, Canada and Mexico through a variety of retail channels."/>
    <s v="D-0238-2022"/>
    <s v="LOTRIMIN AF (Miconazole nitrate 2%) Powder Spray NET WT 133g (4.6 OZ) can, packaged as (a) a single pack NDC 11523-0544-2 UPC 3 11017 41025 7; (b) 3 pack, NDC 11523-0544-2, UPC 0 41100 58594 3; Dist by: Bayer Healthcare LLC, Whippany, NJ 07981, Product of Spain,       ,"/>
    <s v="3,816,468 cans"/>
    <s v="cGMP Deviations: manufactured at the same facility where other lots were found to be contaminated with benzene."/>
    <n v="20211001"/>
    <n v="20211118"/>
    <n v="20230626"/>
    <n v="20211124"/>
    <s v="Lot # (a) CV017D9, EXP 10/31/2021; CV01940, EXP 11/30/2021; CV01CD9, EXP 4/30/2022; CV01D9T, CV01DZ3, EXP 6/30/2022; CV01EPP, EXP 7/31/2022; TN000TT, EXP 10/31/2022; TN003CG, EXP 1/31/2023; TN003CH, TN00407, EXP 3/31/2023; TN0041V, EXP 6/30/2023; TN0056W, EXP 7/31/2022; TN005P4, EXP 8/31/2022; TN006MJ, EXP 9/30/2022;   (b) CV01940, CV01940A, EXP 11/30/2021; CV01AP2, EXP 02/28/2022; CV01D9T, CV01D9TA, CV01DZ3, EXP 06/30/2022; CV01EPP, EXP 07/31/2022; TN005P4, EXP 08/31/2022; TN000TT,  TN000TTA, EXP 10/31/2022; TN003CG, EXP 01/31/2023; TN003CH, TN003CHA,   TN00407, TN006TD, TN006TDB, TN00407A, EXP 03/31/2023; TN0041V, EXP 06/30/2023"/>
    <s v="Unknown"/>
    <s v="Unknown"/>
    <s v="Unknown"/>
    <s v="Unknown"/>
    <s v="Unknown"/>
    <s v="Unknown"/>
    <s v="Unknown"/>
    <s v="Unknown"/>
    <s v="Unknown"/>
    <s v="Unknown"/>
    <s v="Unknown"/>
    <s v="Unknown"/>
    <s v="Unknown"/>
    <s v="Unknown"/>
    <s v="Unknown"/>
    <s v="Unknown"/>
    <n v="311000000000"/>
    <n v="41100585943"/>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Pulaski"/>
    <x v="1"/>
    <s v="United States"/>
    <x v="1"/>
    <s v="ANDA206125"/>
    <s v="CINACALCET"/>
    <s v="CINACALCET"/>
    <s v="AvKARE"/>
    <s v="42291-459"/>
    <s v="HUMAN PRESCRIPTION DRUG"/>
    <s v="ORAL"/>
    <s v="CINACALCET HYDROCHLORIDE"/>
    <n v="432400"/>
    <n v="432401"/>
    <s v="0e8fd624-fbe3-c134-e063-6294a90a01e2"/>
    <s v="c81dce3a-8f66-4a99-e053-2a95a90a9a10"/>
    <s v="42291-459-30"/>
    <s v="Unknown"/>
    <s v="1K860WSG25"/>
    <s v="Unknown"/>
    <s v="Drugs"/>
    <n v="95897"/>
    <s v="AvKARE"/>
    <s v="615 N 1st St"/>
    <s v="Unknown"/>
    <s v="38478-2403"/>
    <s v="Voluntary: Firm initiated"/>
    <s v="Letter"/>
    <s v="USA Nationwide"/>
    <s v="D-0109-2025"/>
    <s v="Cinacalcet Tablets, 60 mg, 30-count bottle, Rx only, Manufactured for: AvKARE, Pulaski, TN 38478, NDC 42291-460-30"/>
    <s v="2,396 bottles"/>
    <s v="CGMP deviations: Presence of Nitrosamine Drug Substance Related Impurity (NDSRI), N-Nitroso-Cinacalcet above acceptable intake limit."/>
    <n v="20241127"/>
    <n v="20241205"/>
    <s v="Unknown"/>
    <n v="20241211"/>
    <s v="Lot # 44550, Exp 12/31/2024"/>
    <s v="Unknown"/>
    <s v="42291-460"/>
    <s v="42291-461"/>
    <n v="432402"/>
    <s v="42291-460-30"/>
    <s v="42291-461-3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65862-831"/>
    <s v="65862-832"/>
    <s v="65862-833"/>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Shirley"/>
    <x v="4"/>
    <s v="United States"/>
    <x v="1"/>
    <s v="NDA021135"/>
    <s v="VENOFER"/>
    <s v="IRON SUCROSE"/>
    <s v="Fresenius Medical Care Holdings, Inc."/>
    <s v="49230-530"/>
    <s v="HUMAN PRESCRIPTION DRUG"/>
    <s v="INTRAVENOUS"/>
    <s v="IRON SUCROSE"/>
    <n v="1741267"/>
    <n v="1741268"/>
    <s v="d169adb0-d1dc-4c19-99b4-f1dce90db380"/>
    <s v="f1ab1a22-2b99-4d27-8b5a-9c3bcd5e3040"/>
    <s v="49230-530-01"/>
    <b v="1"/>
    <s v="FZ7NYF5N8L"/>
    <n v="349000000000"/>
    <s v="Drugs"/>
    <n v="95711"/>
    <s v="American Regent, Inc."/>
    <s v="5 Ramsey Rd"/>
    <s v="Unknown"/>
    <s v="11967-4701"/>
    <s v="Voluntary: Firm initiated"/>
    <s v="Letter"/>
    <s v="Nationwide in the USA"/>
    <s v="D-0080-2025"/>
    <s v="Venofer (iron sucrose) Injection, USP 100 mg Elemental Iron per 5 mL (20 mg/mL), 5 mL Single-Dose Vials, Rx Only, For Intravenous Use Only, Distributed by: Fresenius Medical Care NA, Waltham, MA 02451, NDC: 49230-534-01 (vial), NDC: 49230-534-25 (25 x 5 mL/vial cartons)."/>
    <s v="Unknown"/>
    <s v="Presence of Particulate Matter: Potential for glass delamination from the vials."/>
    <n v="20241111"/>
    <n v="20241129"/>
    <s v="Unknown"/>
    <n v="20241211"/>
    <s v="Lot#s: 4196, Exp 05/31/2026"/>
    <s v="Unknown"/>
    <s v="49230-534"/>
    <s v="Unknown"/>
    <n v="1741270"/>
    <s v="49230-530-10"/>
    <s v="49230-530-25"/>
    <s v="49230-534-01"/>
    <s v="49230-534-10"/>
    <s v="49230-534-25"/>
    <s v="Unknown"/>
    <s v="Unknown"/>
    <s v="Unknown"/>
    <s v="Unknown"/>
    <s v="Unknown"/>
    <s v="Unknown"/>
    <s v="Unknown"/>
    <n v="349000000000"/>
    <s v="Unknown"/>
    <s v="Unknown"/>
    <s v="Unknown"/>
    <s v="Unknown"/>
    <s v="Unknown"/>
    <s v="Unknown"/>
    <s v="Unknown"/>
    <s v="Unknown"/>
    <s v="Unknown"/>
    <s v="Unknown"/>
    <s v="Unknown"/>
    <n v="1741271"/>
    <s v="M0011718"/>
    <s v="N0000177913"/>
    <s v="Iron [CS]"/>
    <s v="Parenteral Iron Replacement [EPC]"/>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Lake Forest"/>
    <x v="2"/>
    <s v="United States"/>
    <x v="0"/>
    <s v="ANDA077908"/>
    <s v="PROPOFOL"/>
    <s v="PROPOFOL"/>
    <s v="Hospira, Inc."/>
    <s v="0409-4699"/>
    <s v="HUMAN PRESCRIPTION DRUG"/>
    <s v="INTRAVENOUS"/>
    <s v="PROPOFOL"/>
    <n v="1808217"/>
    <n v="1808222"/>
    <s v="4fe7d279-304e-4d41-b374-9263fbde9998"/>
    <s v="28d7ba00-f824-4e55-139a-03f509c099db"/>
    <s v="0409-4699-50"/>
    <b v="1"/>
    <s v="YI7VU623SF"/>
    <s v="Unknown"/>
    <s v="Drugs"/>
    <n v="69573"/>
    <s v="Hospira Inc."/>
    <s v="275 N Field Dr"/>
    <s v="Unknown"/>
    <s v="60045-2579"/>
    <s v="Voluntary: Firm initiated"/>
    <s v="Telephone"/>
    <s v="Distribution limited to one shipment to The Harvard Drug Group, Livonia, MI for the lots of Vancomycin 500 mg, Ketorolac tromethamine 60 mg/2 mL (30 mg/mL), and Propofol 1% 200 mg/20 mL (10 mg/mL), these lots remained within the control of the distributor and were not further distributed. Distribution was Nationwide for the Vancomycin 1 g product."/>
    <s v="D-0389-2015"/>
    <s v="Propofol Injectable Emulsion, 1%, 200 mg/20 mL (10 mg/mL), 20 mL Single patient infusion vials, packaged in 5 Units per carton, Rx only, Hospira, Inc., Lake Forest, IL  60045, NDC 0409-4699-30."/>
    <s v="2,500 vials"/>
    <s v="Temperature Abuse: Products experienced uncontrolled temperature excursions during transit."/>
    <n v="20141006"/>
    <n v="20150213"/>
    <n v="20161215"/>
    <n v="20150225"/>
    <s v="One shipment of Lot #: 33-750-DJ; Exp 1SEP2015 to The Harvard Drug Group, Livonia, MI"/>
    <s v="Unknown"/>
    <s v="0409-6010"/>
    <s v="Unknown"/>
    <n v="1808224"/>
    <s v="0409-4699-30"/>
    <s v="0409-4699-53"/>
    <s v="0409-4699-33"/>
    <s v="0409-4699-54"/>
    <s v="0409-4699-24"/>
    <s v="0409-6010-02"/>
    <s v="0409-6010-25"/>
    <s v="Unknown"/>
    <s v="Unknown"/>
    <s v="Unknown"/>
    <s v="Unknown"/>
    <s v="Unknown"/>
    <s v="Unknown"/>
    <s v="Unknown"/>
    <s v="Unknown"/>
    <s v="Unknown"/>
    <s v="Unknown"/>
    <s v="Unknown"/>
    <s v="Unknown"/>
    <s v="Unknown"/>
    <s v="Unknown"/>
    <s v="Unknown"/>
    <s v="Unknown"/>
    <s v="Unknown"/>
    <s v="Unknown"/>
    <s v="N0000175975"/>
    <s v="N0000175681"/>
    <s v="Unknown"/>
    <s v="General Anesthetic [EPC]"/>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General Anesthesia [PE]"/>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Whippany"/>
    <x v="0"/>
    <s v="United States"/>
    <x v="1"/>
    <s v="M005"/>
    <s v="TINACTIN"/>
    <s v="TOLNAFTATE"/>
    <s v="Bayer HealthCare LLC."/>
    <s v="11523-0777"/>
    <s v="HUMAN OTC DRUG"/>
    <s v="TOPICAL"/>
    <s v="TOLNAFTATE"/>
    <n v="705934"/>
    <n v="705936"/>
    <s v="289df0b8-dadb-2f63-e063-6394a90aa6f4"/>
    <s v="00a17e61-0d91-41e0-9cbe-c7c0b3093f3c"/>
    <s v="11523-0777-2"/>
    <b v="1"/>
    <s v="06KB629TKV"/>
    <n v="311000000000"/>
    <s v="Drugs"/>
    <n v="88677"/>
    <s v="Bayer Healthcare Pharmaceuticals Inc."/>
    <s v="100 Bayer Blvd"/>
    <s v="N/A"/>
    <s v="07981-1544"/>
    <s v="Voluntary: Firm initiated"/>
    <s v="Press Release"/>
    <s v="Distributed Nationwide in the US, Puerto Rico, Canada and Mexico through a variety of retail channels."/>
    <s v="D-0245-2022"/>
    <s v="Tinactin (Tolnaftate 1%) POWDER SPRAY NET WT 133g (4.6 oz) can, Labeled as (a) Product of  Ireland 86940418, (b)Product of Finland 20006106, (c) Product of Ireland with Instant redeemable coupon ( IRC); Dist by: Bayer Healthcare LLC, Whippany, NJ 07981, Product of Finland, UPC 3 11017 41009 7, NDC 11523-0777-2."/>
    <s v="2,841,012 cans"/>
    <s v="cGMP Deviations: manufactured at the same facility where other lots were found to be contaminated with benzene."/>
    <n v="20211001"/>
    <n v="20211118"/>
    <n v="20230626"/>
    <n v="20211124"/>
    <s v="Lot # (a) CV015YT, EXP 10/31/2021; CV01AE7, EXP 2/28/2022; CV01CY2, EXP 4/30/2022'; CV01E6P, EXP 8/31/2022; TN00085, TN001EK, EXP 10/31/2022; TN001ZV, TN00274, EXP 12/31/2022; TN003CU, EXP 1/31/2023; TN003CV, EXP 3/31/2023; TN0047H, EXP 4/30/2023; TN0047R, EXP 5/31/2023;  (b)TN0067B, EXP 9/30/2022; TN006AT, EXP 12/31/2022; TN006TA, EXP 2/28/2023;  (c) CV01E6PV, CV01E6PD, CV01E6PC, CV01E6PBV, CV01E6PAV, EXP 8/31/2022"/>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Princeton"/>
    <x v="0"/>
    <s v="United States"/>
    <x v="2"/>
    <s v="ANDA203874"/>
    <s v="AMLODIPINE BESYLATE AND ATORVASTATIN CALCIUM"/>
    <s v="AMLODIPINE BESYLATE AND ATORVASTATIN CALCIUM"/>
    <s v="Dr. Reddy's Laboratories Inc"/>
    <s v="43598-313"/>
    <s v="HUMAN PRESCRIPTION DRUG"/>
    <s v="ORAL"/>
    <s v="AMLODIPINE BESYLATE"/>
    <n v="404011"/>
    <n v="404013"/>
    <s v="54058ac6-94e2-d2d3-5c46-886b3478fc76"/>
    <s v="abee4a34-89cc-d886-192c-32582ab8f024"/>
    <s v="43598-323-30"/>
    <b v="1"/>
    <s v="48A5M73Z4Q"/>
    <n v="344000000000"/>
    <s v="Drugs"/>
    <n v="71375"/>
    <s v="Dr. Reddy's Laboratories, Inc."/>
    <s v="107 College Rd E"/>
    <s v="Unknown"/>
    <s v="08540-6623"/>
    <s v="Voluntary: Firm initiated"/>
    <s v="Letter"/>
    <s v="Nationwide"/>
    <s v="D-1143-2015"/>
    <s v="Amlodipine besylate and Atorvastatin calcium tablets, 5mg/10mg, packaged in a)30-count bottle (NDC 43598-322-30), b) 90-count bottle (NDC 43598-322-90), Rx Only, Manufactured by Dr. Reddy's Laboratories Limited Bachupally, 500 090 India"/>
    <s v="Unknown"/>
    <s v="Subpotent drug"/>
    <n v="20150506"/>
    <n v="20150618"/>
    <n v="20160331"/>
    <n v="20150624"/>
    <s v="Lot #: a) C401536, Exp 07/2015; b) C401538, Exp 07/2015"/>
    <s v="Unknown"/>
    <s v="43598-323"/>
    <s v="43598-320"/>
    <n v="597967"/>
    <s v="43598-323-60"/>
    <s v="43598-323-90"/>
    <s v="43598-323-05"/>
    <s v="43598-320-30"/>
    <s v="43598-320-60"/>
    <s v="43598-320-90"/>
    <s v="43598-320-05"/>
    <s v="43598-317-30"/>
    <s v="43598-317-60"/>
    <s v="43598-317-90"/>
    <s v="43598-317-05"/>
    <s v="Unknown"/>
    <n v="344000000000"/>
    <n v="344000000000"/>
    <s v="43598-317"/>
    <s v="43598-322"/>
    <s v="43598-322-30"/>
    <s v="43598-322-60"/>
    <s v="43598-322-90"/>
    <s v="43598-322-05"/>
    <s v="43598-319-30"/>
    <s v="43598-319-60"/>
    <s v="43598-319-90"/>
    <s v="43598-319-05"/>
    <n v="597971"/>
    <s v="Unknown"/>
    <s v="Unknown"/>
    <s v="Unknown"/>
    <s v="Unknown"/>
    <s v="43598-319"/>
    <s v="43598-316"/>
    <s v="43598-314"/>
    <s v="43598-321"/>
    <s v="43598-318"/>
    <s v="43598-315"/>
    <s v="Unknown"/>
    <n v="597974"/>
    <n v="597977"/>
    <n v="597980"/>
    <n v="597984"/>
    <n v="597987"/>
    <n v="597990"/>
    <n v="597993"/>
    <s v="Unknown"/>
    <s v="43598-316-30"/>
    <s v="43598-316-60"/>
    <s v="43598-316-90"/>
    <s v="43598-316-05"/>
    <n v="344000000000"/>
    <n v="344000000000"/>
    <n v="344000000000"/>
    <n v="344000000000"/>
    <n v="344000000000"/>
    <n v="344000000000"/>
    <s v="Unknown"/>
    <s v="Unknown"/>
    <s v="Unknown"/>
    <s v="ATORVASTATIN CALCIUM TRIHYDRATE"/>
    <s v="Unknown"/>
    <s v="Unknown"/>
    <s v="Unknown"/>
    <s v="Unknown"/>
    <s v="Unknown"/>
    <s v="864V2Q084H"/>
    <s v="Unknown"/>
    <s v="Unknown"/>
    <s v="Unknown"/>
    <s v="Unknown"/>
    <s v="43598-314-30"/>
    <s v="43598-314-60"/>
    <s v="43598-314-90"/>
    <s v="43598-314-05"/>
    <s v="43598-321-30"/>
    <s v="43598-321-60"/>
    <s v="43598-321-90"/>
    <s v="43598-321-05"/>
    <s v="43598-318-30"/>
    <s v="43598-318-60"/>
    <s v="43598-318-90"/>
    <s v="43598-318-05"/>
    <s v="43598-315-30"/>
    <s v="43598-315-60"/>
    <s v="43598-315-90"/>
    <s v="43598-315-05"/>
    <s v="43598-313-30"/>
    <s v="43598-313-60"/>
    <s v="43598-313-90"/>
    <s v="43598-313-05"/>
    <s v="Unknown"/>
    <s v="Unknown"/>
    <s v="Unknown"/>
    <s v="Unknown"/>
    <s v="Unknown"/>
    <s v="Unknown"/>
    <s v="Unknown"/>
    <s v="Unknown"/>
    <s v="Unknown"/>
    <s v="Unknown"/>
    <s v="Unknown"/>
    <s v="Unknown"/>
    <s v="Unknown"/>
    <s v="Unknown"/>
  </r>
  <r>
    <x v="1"/>
    <s v="Sinnar, Nashik District"/>
    <x v="6"/>
    <s v="India"/>
    <x v="1"/>
    <s v="ANDA090483"/>
    <s v="AMLODIPINE AND VALSARTAN"/>
    <s v="AMLODIPINE AND VALSARTAN"/>
    <s v="Mylan Pharmaceuticals Inc."/>
    <s v="0378-1721"/>
    <s v="HUMAN PRESCRIPTION DRUG"/>
    <s v="ORAL"/>
    <s v="AMLODIPINE BESYLATE"/>
    <n v="722126"/>
    <n v="722131"/>
    <s v="97bfe7c1-7e4b-45a1-b045-ff48275f1488"/>
    <s v="aa7e7d95-520a-461c-b1b3-e588aeb6a613"/>
    <s v="0378-1721-93"/>
    <b v="1"/>
    <s v="80M03YXJ7I"/>
    <n v="304000000000"/>
    <s v="Drugs"/>
    <n v="81707"/>
    <s v="Mylan Laboratories Limited, (Nashik FDF)"/>
    <s v="F-4 F-12, Malegaon M.I.D.C., Sinnar"/>
    <s v="N/A"/>
    <s v="N/A"/>
    <s v="Voluntary: Firm initiated"/>
    <s v="Press Release"/>
    <s v="Product was distributed throughout the United States to several major distributors, including Puerto Rico."/>
    <s v="D-0320-2019"/>
    <s v="Amlodipine and Valsartan Tablets, USP  5/160 mg, 30-count bottles, Rx Only, Made in India, Manufactured for: Mylan Pharmaceuticals, Inc., Morgantown, WV 26505 U.S.A. NDC 0378-1721-93."/>
    <s v="141,995 HDPE bottles"/>
    <s v="GCMP Deviations: FDA analysis confirmed presence of trace amounts of an impurity, N-nitrosodiethylamine (NDEA) found in the API used to manufacture the product."/>
    <n v="20181204"/>
    <n v="20181214"/>
    <s v="Unknown"/>
    <n v="20181219"/>
    <s v="Lot Numbers:3064084, 3069629, 3073148, 3073149,3076093, 3077772"/>
    <s v="Unknown"/>
    <s v="0378-1722"/>
    <s v="0378-1723"/>
    <n v="722134"/>
    <s v="0378-1722-93"/>
    <s v="0378-1723-93"/>
    <s v="0378-1724-93"/>
    <s v="Unknown"/>
    <s v="Unknown"/>
    <s v="Unknown"/>
    <s v="Unknown"/>
    <s v="Unknown"/>
    <s v="Unknown"/>
    <s v="Unknown"/>
    <s v="Unknown"/>
    <s v="Unknown"/>
    <n v="304000000000"/>
    <n v="304000000000"/>
    <s v="0378-1724"/>
    <s v="Unknown"/>
    <s v="Unknown"/>
    <s v="Unknown"/>
    <s v="Unknown"/>
    <s v="Unknown"/>
    <s v="Unknown"/>
    <s v="Unknown"/>
    <s v="Unknown"/>
    <s v="Unknown"/>
    <n v="722137"/>
    <s v="N0000000070"/>
    <s v="N0000175561"/>
    <s v="Unknown"/>
    <s v="Angiotensin 2 Receptor Blocker [EPC]"/>
    <s v="Unknown"/>
    <s v="Unknown"/>
    <s v="Unknown"/>
    <s v="Unknown"/>
    <s v="Unknown"/>
    <s v="Unknown"/>
    <s v="Unknown"/>
    <s v="Unknown"/>
    <s v="Unknown"/>
    <s v="Unknown"/>
    <s v="Unknown"/>
    <s v="Unknown"/>
    <s v="Unknown"/>
    <s v="Unknown"/>
    <s v="Unknown"/>
    <s v="Unknown"/>
    <s v="Unknown"/>
    <s v="Unknown"/>
    <s v="Unknown"/>
    <n v="304000000000"/>
    <s v="Unknown"/>
    <s v="Unknown"/>
    <s v="Unknown"/>
    <s v="Unknown"/>
    <s v="Unknown"/>
    <s v="Unknown"/>
    <s v="Unknown"/>
    <s v="Unknown"/>
    <s v="VALSARTAN"/>
    <s v="Unknown"/>
    <s v="Unknown"/>
    <s v="Unknown"/>
    <s v="Unknown"/>
    <s v="Unknown"/>
    <s v="864V2Q084H"/>
    <s v="Unknown"/>
    <s v="Unknown"/>
    <s v="Unknown"/>
    <s v="Unknown"/>
    <s v="Unknown"/>
    <s v="Unknown"/>
    <s v="Unknown"/>
    <s v="Unknown"/>
    <s v="Unknown"/>
    <s v="Unknown"/>
    <s v="Unknown"/>
    <s v="Unknown"/>
    <s v="Unknown"/>
    <s v="Unknown"/>
    <s v="Unknown"/>
    <s v="Unknown"/>
    <s v="Unknown"/>
    <s v="Unknown"/>
    <s v="Unknown"/>
    <s v="Unknown"/>
    <s v="Unknown"/>
    <s v="Unknown"/>
    <s v="Unknown"/>
    <s v="Unknown"/>
    <s v="Angiotensin 2 Receptor Antagonists [MoA]"/>
    <s v="Unknown"/>
    <s v="Unknown"/>
    <s v="Unknown"/>
    <s v="Unknown"/>
    <s v="Unknown"/>
    <s v="Unknown"/>
    <s v="Unknown"/>
    <s v="Unknown"/>
    <s v="Unknown"/>
    <s v="Unknown"/>
    <s v="Unknown"/>
    <s v="Unknown"/>
    <s v="Unknown"/>
  </r>
  <r>
    <x v="1"/>
    <s v="Seymour"/>
    <x v="7"/>
    <s v="United States"/>
    <x v="1"/>
    <s v="ANDA215802"/>
    <s v="LISDEXAMFETAMINE DIMESYLATE"/>
    <s v="LISDEXAMFETAMINE DIMESYLATE"/>
    <s v="Lannett Company, Inc."/>
    <s v="0527-4661"/>
    <s v="HUMAN PRESCRIPTION DRUG"/>
    <s v="ORAL"/>
    <s v="LISDEXAMFETAMINE DIMESYLATE"/>
    <n v="854830"/>
    <n v="854834"/>
    <s v="981ca74f-737d-45e5-a3b2-b25256263768"/>
    <s v="2cedb4c2-1e40-4bc4-b9f4-127150c4afbd"/>
    <s v="0527-4661-37"/>
    <b v="1"/>
    <s v="SJT761GEGS"/>
    <n v="305000000000"/>
    <s v="Drugs"/>
    <n v="95630"/>
    <s v="Lannett Company Inc."/>
    <s v="1101 C Ave W"/>
    <s v="Unknown"/>
    <s v="47274-3342"/>
    <s v="Voluntary: Firm initiated"/>
    <s v="Letter"/>
    <s v="Nationwide in the USA"/>
    <s v="D-0112-2025"/>
    <s v="Lisdexamfetamine Dimesylate Capsules, 10 mg, 100 Capsules per bottle, Rx only, Distributed by: Lannet Company, Philadelphia, PA 19136, NDC:  0527-4661-37"/>
    <s v="1608 bottles"/>
    <s v="Failed Content Uniformity Specifications: Product failed to meet the action limits for stratified content uniformity."/>
    <n v="20241025"/>
    <n v="20241205"/>
    <s v="Unknown"/>
    <n v="20241211"/>
    <s v="Lot: 23274856A, Exp 04/30/2025"/>
    <s v="Unknown"/>
    <s v="0527-4662"/>
    <s v="0527-4663"/>
    <n v="854838"/>
    <s v="0527-4662-37"/>
    <s v="0527-4663-37"/>
    <s v="0527-4664-37"/>
    <s v="0527-4665-37"/>
    <s v="0527-4666-37"/>
    <s v="0527-4667-37"/>
    <s v="Unknown"/>
    <s v="Unknown"/>
    <s v="Unknown"/>
    <s v="Unknown"/>
    <s v="Unknown"/>
    <s v="Unknown"/>
    <n v="305000000000"/>
    <n v="305000000000"/>
    <s v="0527-4664"/>
    <s v="0527-4665"/>
    <s v="Unknown"/>
    <s v="Unknown"/>
    <s v="Unknown"/>
    <s v="Unknown"/>
    <s v="Unknown"/>
    <s v="Unknown"/>
    <s v="Unknown"/>
    <s v="Unknown"/>
    <n v="854842"/>
    <s v="Unknown"/>
    <s v="Unknown"/>
    <s v="Unknown"/>
    <s v="Unknown"/>
    <s v="0527-4666"/>
    <s v="0527-4667"/>
    <s v="Unknown"/>
    <s v="Unknown"/>
    <s v="Unknown"/>
    <s v="Unknown"/>
    <s v="Unknown"/>
    <n v="854846"/>
    <n v="854850"/>
    <n v="1593856"/>
    <s v="Unknown"/>
    <s v="Unknown"/>
    <s v="Unknown"/>
    <s v="Unknown"/>
    <s v="Unknown"/>
    <s v="Unknown"/>
    <s v="Unknown"/>
    <s v="Unknown"/>
    <s v="Unknown"/>
    <n v="305000000000"/>
    <n v="305000000000"/>
    <n v="30500000000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Mahwah"/>
    <x v="0"/>
    <s v="United States"/>
    <x v="1"/>
    <s v="ANDA212317"/>
    <s v="DILTIAZEM HYDROCHLORIDE"/>
    <s v="DILTIAZEM HYDROCHLORIDE"/>
    <s v="Northstar Rx LLC"/>
    <s v="16714-553"/>
    <s v="HUMAN PRESCRIPTION DRUG"/>
    <s v="ORAL"/>
    <s v="DILTIAZEM HYDROCHLORIDE"/>
    <n v="830865"/>
    <n v="830869"/>
    <s v="a11626b3-d7a9-43b0-85d4-38a582acd661"/>
    <s v="e2511ffe-5821-4f64-a469-f8ef9618b1b5"/>
    <s v="16714-553-01"/>
    <b v="1"/>
    <s v="OLH94387TE"/>
    <n v="317000000000"/>
    <s v="Drugs"/>
    <n v="95660"/>
    <s v="Glenmark Pharmaceuticals Inc., USA"/>
    <s v="750 Corporate Dr"/>
    <s v="Unknown"/>
    <s v="07430-2009"/>
    <s v="Voluntary: Firm initiated"/>
    <s v="Letter"/>
    <s v="Nationwide in the USA"/>
    <s v="D-0097-2025"/>
    <s v="Diltiazem Hydrochloride Extended-Release Capsules, USP 90mg, Twice-a-Day Dosage, Rx Only, 100 Capsules per bottle, Mfd for: Northstar Rx LLC, Memphis, TN, Mfd by: Glenmark Pharmaceuticals Limited, Pithampur, Madhya Pradesh India, NDC 16714-554-01."/>
    <s v="4704 bottles"/>
    <s v="cGMP Deviations: Presence of N-nitroso-Desmethyl-Diltiazem impurity above FDA recommended interim limit."/>
    <n v="20241101"/>
    <n v="20241203"/>
    <s v="Unknown"/>
    <n v="20241211"/>
    <s v="Lot #: 17222452, Exp Date 11/30/2024; 17230607, Exp Date 02/28/2025."/>
    <s v="Unknown"/>
    <s v="16714-554"/>
    <s v="16714-555"/>
    <n v="830872"/>
    <s v="16714-554-01"/>
    <s v="16714-555-01"/>
    <s v="Unknown"/>
    <s v="Unknown"/>
    <s v="Unknown"/>
    <s v="Unknown"/>
    <s v="Unknown"/>
    <s v="Unknown"/>
    <s v="Unknown"/>
    <s v="Unknown"/>
    <s v="Unknown"/>
    <s v="Unknown"/>
    <n v="317000000000"/>
    <n v="31700000000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Kalamazoo"/>
    <x v="8"/>
    <s v="United States"/>
    <x v="1"/>
    <s v="NDA050441"/>
    <s v="CLEOCIN PHOSPHATE"/>
    <s v="CLINDAMYCIN PHOSPHATE"/>
    <s v="Pharmacia &amp; Upjohn Company LLC"/>
    <s v="0009-0728"/>
    <s v="HUMAN PRESCRIPTION DRUG"/>
    <s v="INTRAMUSCULAR"/>
    <s v="CLINDAMYCIN PHOSPHATE"/>
    <n v="1737244"/>
    <n v="1737245"/>
    <s v="e1cef283-1e43-40ae-b892-093b539c3bf4"/>
    <s v="05a75685-0af5-407c-ac57-e380c882b49d"/>
    <s v="0009-0870-21"/>
    <b v="1"/>
    <s v="EH6D7113I8"/>
    <s v="Unknown"/>
    <s v="Drugs"/>
    <n v="65275"/>
    <s v="Pharmacia &amp; Upjohn LLC"/>
    <s v="7000 Portage Rd"/>
    <s v="Unknown"/>
    <s v="49001-0102"/>
    <s v="Voluntary: Firm initiated"/>
    <s v="Letter"/>
    <s v="Nationwide"/>
    <s v="D-609-2013"/>
    <s v="Cleocin Phosphate (clindamycin Injection), USP, a) 600 mg/4mL (150 mg/mL) ADD-Vantage Vial, b) 900 mg/6mL (150 mg/mL) ADD-Vantage Vial, Rx Only, For Intravenous Use Only, Use Only with the ADD-Vantage diluent container, Distributed by Pharmacia &amp; Upjohn Co, Division of Pfizer Inc, NY, NY 10017, NDC a) 0009-3124-03 and b) 0009-3447-03"/>
    <s v="898,900 Vials"/>
    <s v="Presence of Particulate Matter: Firm is recalling a small number of vials with very small reflective flakes consistent with delamination of the glass vial."/>
    <n v="20130604"/>
    <n v="20130620"/>
    <n v="20140417"/>
    <n v="20130626"/>
    <s v="Lots: a) G34908, Exp 06/14; G53479, Exp 09/14; G63442, G58347, Exp 10/14; G80133, Exp 12/14; and b) G34910, Exp 06/14; G36879, G41005, Exp 07/14; G53478, Exp 09/14; G63444, Exp 10/14; G76317, Exp 11/14."/>
    <s v="Unknown"/>
    <s v="0009-0870"/>
    <s v="0009-0775"/>
    <n v="1737578"/>
    <s v="0009-0870-26"/>
    <s v="0009-0775-20"/>
    <s v="0009-0775-26"/>
    <s v="0009-0902-11"/>
    <s v="0009-0902-18"/>
    <s v="0009-0728-05"/>
    <s v="0009-0728-09"/>
    <s v="0009-3124-01"/>
    <s v="0009-3124-03"/>
    <s v="0009-3447-01"/>
    <s v="0009-3447-03"/>
    <s v="INTRAVENOUS"/>
    <s v="Unknown"/>
    <s v="Unknown"/>
    <s v="0009-0902"/>
    <s v="0009-3124"/>
    <s v="0009-3381-01"/>
    <s v="0009-3381-02"/>
    <s v="0009-3375-01"/>
    <s v="0009-3375-02"/>
    <s v="0009-3382-01"/>
    <s v="0009-3382-02"/>
    <s v="0009-6582-02"/>
    <s v="0009-6582-01"/>
    <n v="1737579"/>
    <s v="Unknown"/>
    <s v="Unknown"/>
    <s v="Unknown"/>
    <s v="Unknown"/>
    <s v="0009-3447"/>
    <s v="0009-3381"/>
    <s v="0009-3375"/>
    <s v="0009-3382"/>
    <s v="0009-6582"/>
    <s v="Unknown"/>
    <s v="Unknown"/>
    <n v="1737581"/>
    <n v="1737582"/>
    <n v="205964"/>
    <n v="309335"/>
    <n v="309336"/>
    <n v="309339"/>
    <n v="685574"/>
    <n v="685576"/>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n v="685578"/>
    <n v="706461"/>
    <s v="Unknown"/>
    <s v="Unknown"/>
    <s v="Unknown"/>
    <s v="Unknown"/>
    <s v="Unknown"/>
    <s v="Unknown"/>
    <s v="Unknown"/>
    <s v="Unknown"/>
    <s v="Unknown"/>
    <s v="Unknown"/>
    <s v="Unknown"/>
  </r>
  <r>
    <x v="1"/>
    <s v="Athens"/>
    <x v="1"/>
    <s v="United States"/>
    <x v="1"/>
    <s v="Unknown"/>
    <s v="Unknown"/>
    <s v="Unknown"/>
    <s v="Unknown"/>
    <s v="Unknown"/>
    <s v="Unknown"/>
    <s v="Unknown"/>
    <s v="Unknown"/>
    <s v="Unknown"/>
    <s v="Unknown"/>
    <s v="Unknown"/>
    <s v="Unknown"/>
    <s v="Unknown"/>
    <s v="Unknown"/>
    <s v="Unknown"/>
    <s v="Unknown"/>
    <s v="Drugs"/>
    <n v="95826"/>
    <s v="Midlab Incorporated"/>
    <s v="140 Private Brand Way"/>
    <s v="Unknown"/>
    <s v="37303-1401"/>
    <s v="Voluntary: Firm initiated"/>
    <s v="Letter"/>
    <s v="Nationwide in the USA"/>
    <s v="D-0089-2025"/>
    <s v="Array Liquid Antiseptic Handwash, Chloroxylenol 0.1%, NET CONTENTS: 128 FL OZ (1 GAL) 3.785 L, FOR DISTRIBUTION EXCLUSIVELY BY GORDON FOOD SERVICE, WYOMING, MI 49509"/>
    <s v="Unknown"/>
    <s v="cGMP Deviations: Out of specification results for micro in hand soap products."/>
    <n v="20241106"/>
    <n v="20241202"/>
    <s v="Unknown"/>
    <n v="20241211"/>
    <s v="Lot 0711241"/>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Sinnar, Nashik District"/>
    <x v="6"/>
    <s v="India"/>
    <x v="1"/>
    <s v="ANDA090483"/>
    <s v="AMLODIPINE AND VALSARTAN"/>
    <s v="AMLODIPINE AND VALSARTAN"/>
    <s v="Mylan Pharmaceuticals Inc."/>
    <s v="0378-1721"/>
    <s v="HUMAN PRESCRIPTION DRUG"/>
    <s v="ORAL"/>
    <s v="AMLODIPINE BESYLATE"/>
    <n v="722126"/>
    <n v="722131"/>
    <s v="97bfe7c1-7e4b-45a1-b045-ff48275f1488"/>
    <s v="aa7e7d95-520a-461c-b1b3-e588aeb6a613"/>
    <s v="0378-1721-93"/>
    <b v="1"/>
    <s v="80M03YXJ7I"/>
    <n v="304000000000"/>
    <s v="Drugs"/>
    <n v="81707"/>
    <s v="Mylan Laboratories Limited, (Nashik FDF)"/>
    <s v="F-4 F-12, Malegaon M.I.D.C., Sinnar"/>
    <s v="N/A"/>
    <s v="N/A"/>
    <s v="Voluntary: Firm initiated"/>
    <s v="Press Release"/>
    <s v="Product was distributed throughout the United States to several major distributors, including Puerto Rico."/>
    <s v="D-0323-2019"/>
    <s v="Amlodipine and Valsartan Tablets, USP 10/320 mg, 30-count bottles, Rx Only, Made in India, Manufactured for: Mylan Pharmaceuticals, Inc., NDC 0378-1724-93."/>
    <s v="84,066 HDPE bottles"/>
    <s v="GCMP Deviations: FDA analysis confirmed presence of trace amounts of an impurity, N-nitrosodiethylamine (NDEA) found in the API used to manufacture the product."/>
    <n v="20181204"/>
    <n v="20181214"/>
    <s v="Unknown"/>
    <n v="20181219"/>
    <s v="Lot Numbers:  3066064, 3069645, 3069646, 3073142, 3073143, 3073144, 3077617"/>
    <s v="Unknown"/>
    <s v="0378-1722"/>
    <s v="0378-1723"/>
    <n v="722134"/>
    <s v="0378-1722-93"/>
    <s v="0378-1723-93"/>
    <s v="0378-1724-93"/>
    <s v="Unknown"/>
    <s v="Unknown"/>
    <s v="Unknown"/>
    <s v="Unknown"/>
    <s v="Unknown"/>
    <s v="Unknown"/>
    <s v="Unknown"/>
    <s v="Unknown"/>
    <s v="Unknown"/>
    <n v="304000000000"/>
    <n v="304000000000"/>
    <s v="0378-1724"/>
    <s v="Unknown"/>
    <s v="Unknown"/>
    <s v="Unknown"/>
    <s v="Unknown"/>
    <s v="Unknown"/>
    <s v="Unknown"/>
    <s v="Unknown"/>
    <s v="Unknown"/>
    <s v="Unknown"/>
    <n v="722137"/>
    <s v="N0000000070"/>
    <s v="N0000175561"/>
    <s v="Unknown"/>
    <s v="Angiotensin 2 Receptor Blocker [EPC]"/>
    <s v="Unknown"/>
    <s v="Unknown"/>
    <s v="Unknown"/>
    <s v="Unknown"/>
    <s v="Unknown"/>
    <s v="Unknown"/>
    <s v="Unknown"/>
    <s v="Unknown"/>
    <s v="Unknown"/>
    <s v="Unknown"/>
    <s v="Unknown"/>
    <s v="Unknown"/>
    <s v="Unknown"/>
    <s v="Unknown"/>
    <s v="Unknown"/>
    <s v="Unknown"/>
    <s v="Unknown"/>
    <s v="Unknown"/>
    <s v="Unknown"/>
    <n v="304000000000"/>
    <s v="Unknown"/>
    <s v="Unknown"/>
    <s v="Unknown"/>
    <s v="Unknown"/>
    <s v="Unknown"/>
    <s v="Unknown"/>
    <s v="Unknown"/>
    <s v="Unknown"/>
    <s v="VALSARTAN"/>
    <s v="Unknown"/>
    <s v="Unknown"/>
    <s v="Unknown"/>
    <s v="Unknown"/>
    <s v="Unknown"/>
    <s v="864V2Q084H"/>
    <s v="Unknown"/>
    <s v="Unknown"/>
    <s v="Unknown"/>
    <s v="Unknown"/>
    <s v="Unknown"/>
    <s v="Unknown"/>
    <s v="Unknown"/>
    <s v="Unknown"/>
    <s v="Unknown"/>
    <s v="Unknown"/>
    <s v="Unknown"/>
    <s v="Unknown"/>
    <s v="Unknown"/>
    <s v="Unknown"/>
    <s v="Unknown"/>
    <s v="Unknown"/>
    <s v="Unknown"/>
    <s v="Unknown"/>
    <s v="Unknown"/>
    <s v="Unknown"/>
    <s v="Unknown"/>
    <s v="Unknown"/>
    <s v="Unknown"/>
    <s v="Unknown"/>
    <s v="Angiotensin 2 Receptor Antagonists [MoA]"/>
    <s v="Unknown"/>
    <s v="Unknown"/>
    <s v="Unknown"/>
    <s v="Unknown"/>
    <s v="Unknown"/>
    <s v="Unknown"/>
    <s v="Unknown"/>
    <s v="Unknown"/>
    <s v="Unknown"/>
    <s v="Unknown"/>
    <s v="Unknown"/>
    <s v="Unknown"/>
    <s v="Unknown"/>
  </r>
  <r>
    <x v="1"/>
    <s v="Pennington"/>
    <x v="0"/>
    <s v="United States"/>
    <x v="2"/>
    <s v="ANDA206055"/>
    <s v="ESOMEPRAZOLE MAGNESIUM"/>
    <s v="ESOMEPRAZOLE MAGNESIUM"/>
    <s v="Zydus Pharmaceuticals USA Inc."/>
    <s v="68382-848"/>
    <s v="HUMAN PRESCRIPTION DRUG"/>
    <s v="ORAL"/>
    <s v="ESOMEPRAZOLE MAGNESIUM DIHYDRATE"/>
    <n v="692576"/>
    <n v="692578"/>
    <s v="bc31956a-671b-4ca3-b9dd-1fdb03003cae"/>
    <s v="190a4c5b-1547-45d7-b00b-10da4131e2e2"/>
    <s v="68382-848-94"/>
    <b v="1"/>
    <s v="36H71644EQ"/>
    <s v="Unknown"/>
    <s v="Drugs"/>
    <n v="95767"/>
    <s v="Zydus Pharmaceuticals (USA) Inc"/>
    <s v="73 Route 31 N"/>
    <s v="Unknown"/>
    <s v="08534-3601"/>
    <s v="Voluntary: Firm initiated"/>
    <s v="Letter"/>
    <s v="USA Nationwide."/>
    <s v="D-0102-2025"/>
    <s v="Esomeprazole Magnesium for Delayed-Release Oral Suspension 40 mg, 30 Single-Dose Packets, Rx Only, Manufactured by: Zydus Lifesciences Ltd. Ahmedabad, India, Distributed by: Zydus Pharmaceuticals (USA) Inc., Pennington, NJ 08534, NDC 68382-849-94.  Packaged in sachets"/>
    <s v="4404 packs"/>
    <s v="Labeling: Not Elsewhere Classified - Wrong NDC number"/>
    <n v="20241114"/>
    <n v="20241204"/>
    <s v="Unknown"/>
    <n v="20241211"/>
    <s v="Lot#: M408002, Exp 05/31/2026"/>
    <s v="Unknown"/>
    <s v="68382-849"/>
    <s v="Unknown"/>
    <s v="Unknown"/>
    <s v="68382-849-94"/>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East Brunswick"/>
    <x v="0"/>
    <s v="United States"/>
    <x v="1"/>
    <s v="ANDA090778"/>
    <s v="DULOXETINE"/>
    <s v="DULOXETINE HYDROCHLORIDE"/>
    <s v="Rising Pharma Holdings, Inc."/>
    <s v="57237-017"/>
    <s v="HUMAN PRESCRIPTION DRUG"/>
    <s v="ORAL"/>
    <s v="DULOXETINE HYDROCHLORIDE"/>
    <n v="596926"/>
    <n v="596930"/>
    <s v="4166006e-ead3-4e01-8b11-07d26ac957ed"/>
    <s v="ea2dc1a6-22d5-4295-9d39-9bf015dc5a89"/>
    <s v="57237-017-60"/>
    <b v="1"/>
    <s v="9044SC542W"/>
    <n v="357000000000"/>
    <s v="Drugs"/>
    <n v="95756"/>
    <s v="Rising Pharma Holding, Inc."/>
    <s v="2 Tower Center Blvd Ste 1401"/>
    <s v="Unknown"/>
    <s v="08816-1149"/>
    <s v="Voluntary: Firm initiated"/>
    <s v="Letter"/>
    <s v="Nationwide."/>
    <s v="D-0107-2025"/>
    <s v="Duloxetine DR Capsules USP 60 mg, a) 30 count (NDC 57237-019-30), b) 90 count NDC 57237-019-90 and c) 1000 count (NDC 57237-019-99) bottles, Distributed by: Rising Pharmaceuticals, Inc., East Brunswick, NJ"/>
    <s v="233,003 bottles"/>
    <s v="CGMP Deviations: Presence of N-nitroso-duloxetine impurity above recommended interim limit"/>
    <n v="20241119"/>
    <n v="20241205"/>
    <s v="Unknown"/>
    <n v="20241211"/>
    <s v="a) 30s; DT6023059A, DT6023060A, DT6023065A, DT6023069A, DT6023070A, exp. date Jan-25, DT6023080A, exp. date Feb-25, DT6023093A, exp. date Mar-25, DTC24012A, exp. date Dec-25;  b) 90s; DT6023108A, exp. date Apr-25, DTC23201A, exp. date Aug-25;  c) 1000s;  DT6022160A,  DT6022165A,  DT6022162A,  DT6022164A,  DT6022163A,  DT6022171A,  DT6022169A,  DT6022170A,  DT6022173A, exp. date Nov-24, DT6023009A,  DT6023007A,  DT6023008A,  DT6023011A,  DT6023034B, exp. date Dec-24, DT6023067C, exp. date Jan-25, DT6023114A, exp. date Apr-25, DTC23243A, exp. date Oct-25, DTC24040A, exp. date Dec-25"/>
    <s v="Unknown"/>
    <s v="57237-018"/>
    <s v="57237-019"/>
    <n v="596934"/>
    <s v="57237-017-99"/>
    <s v="57237-018-30"/>
    <s v="57237-018-90"/>
    <s v="57237-018-99"/>
    <s v="57237-019-30"/>
    <s v="57237-019-90"/>
    <s v="57237-019-99"/>
    <s v="Unknown"/>
    <s v="Unknown"/>
    <s v="Unknown"/>
    <s v="Unknown"/>
    <s v="Unknown"/>
    <n v="357000000000"/>
    <n v="35700000000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Lake Forest"/>
    <x v="2"/>
    <s v="United States"/>
    <x v="0"/>
    <s v="NDA200403"/>
    <s v="HYDROMORPHONE HYDROCHLORIDE"/>
    <s v="HYDROMORPHONE HYDROCHLORIDE"/>
    <s v="Hospira, Inc."/>
    <s v="0409-1283"/>
    <s v="HUMAN PRESCRIPTION DRUG"/>
    <s v="INTRAMUSCULAR"/>
    <s v="HYDROMORPHONE HYDROCHLORIDE"/>
    <n v="897653"/>
    <n v="897753"/>
    <s v="8f74252c-9a34-4f85-a62c-e42bbff1a22f"/>
    <s v="e9c9ef18-7dfc-4322-b2fc-29b934c30f8b"/>
    <s v="0409-2552-11"/>
    <b v="1"/>
    <s v="L960UP2KRW"/>
    <s v="Unknown"/>
    <s v="Drugs"/>
    <n v="62854"/>
    <s v="Hospira Inc."/>
    <s v="275 N Field Dr"/>
    <s v="N/A"/>
    <s v="60045-2579"/>
    <s v="Voluntary: Firm initiated"/>
    <s v="Press Release"/>
    <s v="Nationwide"/>
    <s v="D-020-2013"/>
    <s v="HYDROmorphone HCl Injection, USP, 2 mg/mL, 1 mL fill in a 2.5 mL Carpuject prefilled cartridge unit, packaged in 10-count Carpujects per carton, Rx only, Hospira, Inc., Lake Forest, IL 60045, NDC 0409-1312-30, Barcode (01) 1 030409 131230 9 (carton), (01) 0 030409 131230 2 (cartridge unit)."/>
    <s v="216,880 cartridge units"/>
    <s v="Superpotent (Single Ingredient) Drug: The prefilled cartridge unit has been found to be overfilled and contain more than the 1 mL labeled fill volume."/>
    <n v="20120815"/>
    <n v="20121024"/>
    <n v="20150529"/>
    <n v="20121031"/>
    <s v="Lot 12720LL, Exp 12/01/13"/>
    <s v="Unknown"/>
    <s v="0409-2552"/>
    <s v="0409-3356"/>
    <n v="897756"/>
    <s v="0409-2552-01"/>
    <s v="0409-3356-11"/>
    <s v="0409-3356-01"/>
    <s v="0409-2540-11"/>
    <s v="0409-2540-01"/>
    <s v="0409-3365-11"/>
    <s v="0409-3365-01"/>
    <s v="0409-3365-10"/>
    <s v="0409-1283-03"/>
    <s v="0409-1283-31"/>
    <s v="0409-1283-09"/>
    <s v="INTRAVENOUS"/>
    <s v="Unknown"/>
    <s v="Unknown"/>
    <s v="0409-2540"/>
    <s v="0409-3365"/>
    <s v="0409-1283-10"/>
    <s v="0409-1283-04"/>
    <s v="0409-1283-05"/>
    <s v="0409-1312-03"/>
    <s v="0409-1312-30"/>
    <s v="0409-1312-09"/>
    <s v="0409-1312-10"/>
    <s v="0409-1304-03"/>
    <n v="897757"/>
    <s v="Unknown"/>
    <s v="Unknown"/>
    <s v="Unknown"/>
    <s v="Unknown"/>
    <s v="0409-1312"/>
    <s v="0409-1304"/>
    <s v="Unknown"/>
    <s v="Unknown"/>
    <s v="Unknown"/>
    <s v="Unknown"/>
    <s v="Unknown"/>
    <n v="897758"/>
    <n v="1433251"/>
    <n v="1724276"/>
    <n v="1724383"/>
    <n v="1724644"/>
    <s v="Unknown"/>
    <s v="Unknown"/>
    <s v="Unknown"/>
    <s v="0409-1304-31"/>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SUBCUTANEOUS"/>
    <s v="Unknown"/>
    <s v="Unknown"/>
    <s v="Unknown"/>
    <s v="Unknown"/>
    <s v="Unknown"/>
    <s v="Unknown"/>
    <s v="Unknown"/>
    <s v="Unknown"/>
    <s v="Unknown"/>
    <s v="Unknown"/>
  </r>
  <r>
    <x v="0"/>
    <s v="New York"/>
    <x v="4"/>
    <s v="United States"/>
    <x v="1"/>
    <s v="NDA020125"/>
    <s v="ACCURETIC"/>
    <s v="QUINAPRIL AND HYDROCHLOROTHIAZIDE"/>
    <s v="Parke-Davis Div of Pfizer Inc"/>
    <s v="0071-3112"/>
    <s v="HUMAN PRESCRIPTION DRUG"/>
    <s v="ORAL"/>
    <s v="HYDROCHLOROTHIAZIDE"/>
    <n v="310796"/>
    <n v="310797"/>
    <s v="489727cb-429e-4f04-a973-ae4dc7898519"/>
    <s v="80e9d61d-9674-4ac4-b84c-79a875d408dd"/>
    <s v="0071-0223-23"/>
    <b v="1"/>
    <s v="0J48LPH2TH"/>
    <n v="301000000000"/>
    <s v="Drugs"/>
    <n v="89864"/>
    <s v="Pfizer Inc."/>
    <s v="235 East 42nd Street"/>
    <s v="Unknown"/>
    <s v="10017-5703"/>
    <s v="Voluntary: Firm initiated"/>
    <s v="Press Release"/>
    <s v="Nationwide"/>
    <s v="D-0761-2022"/>
    <s v="Accuretic (quinapril HCl/hydrochlorothiazide) tablets, 20 mg/12.5 mg*, 90 Tablets, Rx Only, Distributed by: Parke-Davis, Division of Pfizer Inc., NY. NY 10017, Made in Germany,  NDC 0071-5212-23    ."/>
    <s v="195 bottles"/>
    <s v="CGMP Deviations: N-nitroso-quinapril and N-nitroso-hydrochlorothiazide impurity above the acceptable daily intake limit."/>
    <n v="20220321"/>
    <n v="20220406"/>
    <n v="20240828"/>
    <n v="20220413"/>
    <s v="Lot FG5381; Exp. 08/2024"/>
    <s v="Unknown"/>
    <s v="0071-0223"/>
    <s v="0071-5212"/>
    <n v="310809"/>
    <s v="0071-3112-23"/>
    <s v="0071-5212-23"/>
    <s v="0071-7225-23"/>
    <s v="Unknown"/>
    <s v="Unknown"/>
    <s v="Unknown"/>
    <s v="Unknown"/>
    <s v="Unknown"/>
    <s v="Unknown"/>
    <s v="Unknown"/>
    <s v="Unknown"/>
    <s v="Unknown"/>
    <n v="301000000000"/>
    <n v="301000000000"/>
    <s v="0071-7225"/>
    <s v="Unknown"/>
    <s v="Unknown"/>
    <s v="Unknown"/>
    <s v="Unknown"/>
    <s v="Unknown"/>
    <s v="Unknown"/>
    <s v="Unknown"/>
    <s v="Unknown"/>
    <s v="Unknown"/>
    <n v="809854"/>
    <s v="N0000175359"/>
    <s v="N0000175419"/>
    <s v="Thiazides [CS]"/>
    <s v="Thiazide Diuretic [EPC]"/>
    <s v="Unknown"/>
    <s v="Unknown"/>
    <s v="Unknown"/>
    <s v="Unknown"/>
    <s v="Unknown"/>
    <s v="Unknown"/>
    <s v="Unknown"/>
    <n v="809858"/>
    <n v="882559"/>
    <s v="Unknown"/>
    <s v="Unknown"/>
    <s v="Unknown"/>
    <s v="Unknown"/>
    <s v="Unknown"/>
    <s v="Unknown"/>
    <s v="Unknown"/>
    <s v="Unknown"/>
    <s v="Unknown"/>
    <s v="Unknown"/>
    <n v="301000000000"/>
    <s v="Unknown"/>
    <s v="Unknown"/>
    <s v="Unknown"/>
    <s v="Unknown"/>
    <s v="Unknown"/>
    <s v="Unknown"/>
    <s v="Unknown"/>
    <s v="Unknown"/>
    <s v="QUINAPRIL HYDROCHLORIDE"/>
    <s v="Unknown"/>
    <s v="M0471776"/>
    <s v="Unknown"/>
    <s v="Increased Diuresis [PE]"/>
    <s v="Unknown"/>
    <s v="33067B3N2M"/>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Pulaski"/>
    <x v="1"/>
    <s v="United States"/>
    <x v="1"/>
    <s v="ANDA206125"/>
    <s v="CINACALCET"/>
    <s v="CINACALCET"/>
    <s v="AvKARE"/>
    <s v="42291-459"/>
    <s v="HUMAN PRESCRIPTION DRUG"/>
    <s v="ORAL"/>
    <s v="CINACALCET HYDROCHLORIDE"/>
    <n v="432400"/>
    <n v="432401"/>
    <s v="0e8fd624-fbe3-c134-e063-6294a90a01e2"/>
    <s v="c81dce3a-8f66-4a99-e053-2a95a90a9a10"/>
    <s v="42291-459-30"/>
    <s v="Unknown"/>
    <s v="1K860WSG25"/>
    <s v="Unknown"/>
    <s v="Drugs"/>
    <n v="95897"/>
    <s v="AvKARE"/>
    <s v="615 N 1st St"/>
    <s v="Unknown"/>
    <s v="38478-2403"/>
    <s v="Voluntary: Firm initiated"/>
    <s v="Letter"/>
    <s v="USA Nationwide"/>
    <s v="D-0110-2025"/>
    <s v="Cinacalcet Tablets, 90 mg, 30-count bottle, Rx only, Manufactured for: AvKARE, Pulaski, TN 38478, NDC 42291-461-30"/>
    <s v="2,796 bottles"/>
    <s v="CGMP deviations: Presence of Nitrosamine Drug Substance Related Impurity (NDSRI), N-Nitroso-Cinacalcet above acceptable intake limit."/>
    <n v="20241127"/>
    <n v="20241205"/>
    <s v="Unknown"/>
    <n v="20241211"/>
    <s v="Lot #: 44405, Exp 12/31/2024"/>
    <s v="Unknown"/>
    <s v="42291-460"/>
    <s v="42291-461"/>
    <n v="432402"/>
    <s v="42291-460-30"/>
    <s v="42291-461-3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65862-831"/>
    <s v="65862-832"/>
    <s v="65862-833"/>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Athens"/>
    <x v="1"/>
    <s v="United States"/>
    <x v="1"/>
    <s v="Unknown"/>
    <s v="Unknown"/>
    <s v="Unknown"/>
    <s v="Unknown"/>
    <s v="Unknown"/>
    <s v="Unknown"/>
    <s v="Unknown"/>
    <s v="Unknown"/>
    <s v="Unknown"/>
    <s v="Unknown"/>
    <s v="Unknown"/>
    <s v="Unknown"/>
    <s v="Unknown"/>
    <s v="Unknown"/>
    <s v="Unknown"/>
    <s v="Unknown"/>
    <s v="Drugs"/>
    <n v="95826"/>
    <s v="Midlab Incorporated"/>
    <s v="140 Private Brand Way"/>
    <s v="Unknown"/>
    <s v="37303-1401"/>
    <s v="Voluntary: Firm initiated"/>
    <s v="Letter"/>
    <s v="Nationwide in the USA"/>
    <s v="D-0092-2025"/>
    <s v="Compliance Dishwashing Liquid &amp; Antibacterial Soap, PCMX 0.1%, Net Contents: 1 Gallon, 128 Ounces, 3.785 Liters,  Royal Corporation, 10232 Palm Drive, Santa Fe Springs, CA 90670"/>
    <s v="Unknown"/>
    <s v="cGMP Deviations: Out of specification results for micro in hand soap products."/>
    <n v="20241106"/>
    <n v="20241202"/>
    <s v="Unknown"/>
    <n v="20241211"/>
    <s v="Lot 0711241"/>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Zebulon"/>
    <x v="3"/>
    <s v="United States"/>
    <x v="2"/>
    <s v="NDA021254"/>
    <s v="ADVAIR HFA"/>
    <s v="FLUTICASONE PROPIONATE AND SALMETEROL XINAFOATE"/>
    <s v="GlaxoSmithKline LLC"/>
    <s v="0173-0715"/>
    <s v="HUMAN PRESCRIPTION DRUG"/>
    <s v="RESPIRATORY (INHALATION)"/>
    <s v="FLUTICASONE PROPIONATE"/>
    <n v="896231"/>
    <n v="896235"/>
    <s v="41f42eae-40d8-499e-8b52-d73a98ffc998"/>
    <s v="dfaca6f9-3277-47b2-319d-1377917cb54c"/>
    <s v="0173-0715-20"/>
    <b v="1"/>
    <s v="6EW8Q962A5"/>
    <s v="Unknown"/>
    <s v="Drugs"/>
    <n v="63707"/>
    <s v="GlaxoSmithKline, LLC."/>
    <s v="1011 North Arendell Ave"/>
    <s v="N/A"/>
    <s v="27597-1217"/>
    <s v="Voluntary: Firm initiated"/>
    <s v="Letter"/>
    <s v="Nationwide and Puerto Rico."/>
    <s v="D-064-2013"/>
    <s v="Advair HFA (fluticasone propionate 45 mcg and salmeterol 21 mcg) Inhalation Aerosol, 12g, 120 Metered Actuations, For Oral Inhalation with Advair HFA actuator only, Rx only, GlaxoSmithKline, Research Triangle Park, NC 27709, NDC 0173-0715-20."/>
    <s v="310,964 Aerosol Units"/>
    <s v="Product Lacks Stability: These lots are being recalled due to the failure to meet the particle size distribution specification."/>
    <n v="20121024"/>
    <n v="20121123"/>
    <n v="20140911"/>
    <n v="20121205"/>
    <s v="Lot #: 1ZP2465, Exp Oct-12, 1ZP5224, Exp. Nov-12, 1ZP5455, 1ZP6916, Exp. Dec-12, 1ZP8042, 1ZP9593, Exp Jan-13, 1ZP9900, Exp. Mar-13, 1ZP1134, Exp. Apr-13, 1ZP3190, 2ZP6531, Exp. May-13, 2ZP6924, 2ZP7258, Exp. Jul-13, 2ZP1886, 2ZP9975, 2ZP0027, 2ZP9782, Exp. Sep-13, 2ZP1331, Exp. Oct-13, 2ZP2366, Exp. Nov-13."/>
    <s v="Unknown"/>
    <s v="0173-0716"/>
    <s v="0173-0717"/>
    <n v="896236"/>
    <s v="0173-0715-22"/>
    <s v="0173-0716-20"/>
    <s v="0173-0716-22"/>
    <s v="0173-0717-20"/>
    <s v="0173-0717-22"/>
    <s v="Unknown"/>
    <s v="Unknown"/>
    <s v="Unknown"/>
    <s v="Unknown"/>
    <s v="Unknown"/>
    <s v="Unknown"/>
    <s v="Unknown"/>
    <s v="Unknown"/>
    <s v="Unknown"/>
    <s v="Unknown"/>
    <s v="Unknown"/>
    <s v="Unknown"/>
    <s v="Unknown"/>
    <s v="Unknown"/>
    <s v="Unknown"/>
    <s v="Unknown"/>
    <s v="Unknown"/>
    <s v="Unknown"/>
    <s v="Unknown"/>
    <n v="896237"/>
    <s v="Unknown"/>
    <s v="Unknown"/>
    <s v="Unknown"/>
    <s v="Unknown"/>
    <s v="Unknown"/>
    <s v="Unknown"/>
    <s v="Unknown"/>
    <s v="Unknown"/>
    <s v="Unknown"/>
    <s v="Unknown"/>
    <s v="Unknown"/>
    <n v="896239"/>
    <n v="896243"/>
    <n v="896244"/>
    <n v="896245"/>
    <n v="896267"/>
    <n v="896271"/>
    <n v="896272"/>
    <n v="896273"/>
    <s v="Unknown"/>
    <s v="Unknown"/>
    <s v="Unknown"/>
    <s v="Unknown"/>
    <s v="Unknown"/>
    <s v="Unknown"/>
    <s v="Unknown"/>
    <s v="Unknown"/>
    <s v="Unknown"/>
    <s v="Unknown"/>
    <s v="Unknown"/>
    <s v="Unknown"/>
    <s v="Unknown"/>
    <s v="SALMETEROL XINAFOATE"/>
    <s v="Unknown"/>
    <s v="Unknown"/>
    <s v="Unknown"/>
    <s v="Unknown"/>
    <s v="Unknown"/>
    <s v="O2GMZ0LF5W"/>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New York"/>
    <x v="4"/>
    <s v="United States"/>
    <x v="1"/>
    <s v="NDA020125"/>
    <s v="ACCURETIC"/>
    <s v="QUINAPRIL AND HYDROCHLOROTHIAZIDE"/>
    <s v="Parke-Davis Div of Pfizer Inc"/>
    <s v="0071-3112"/>
    <s v="HUMAN PRESCRIPTION DRUG"/>
    <s v="ORAL"/>
    <s v="HYDROCHLOROTHIAZIDE"/>
    <n v="310796"/>
    <n v="310797"/>
    <s v="489727cb-429e-4f04-a973-ae4dc7898519"/>
    <s v="80e9d61d-9674-4ac4-b84c-79a875d408dd"/>
    <s v="0071-0223-23"/>
    <b v="1"/>
    <s v="0J48LPH2TH"/>
    <n v="301000000000"/>
    <s v="Drugs"/>
    <n v="89864"/>
    <s v="Pfizer Inc."/>
    <s v="235 East 42nd Street"/>
    <s v="Unknown"/>
    <s v="10017-5703"/>
    <s v="Voluntary: Firm initiated"/>
    <s v="Press Release"/>
    <s v="Nationwide"/>
    <s v="D-0754-2022"/>
    <s v="Accuretic (quinapril HCl/hydrochlorothiazide) Tablets, 10 mg/12.5 mg*, 90 Tablets bottles, Rx Only, Distributed by: Parke-Davis, Division of Pfizer Inc, NY, NY 10017, Made in Germany,  NDC 0071-3112-23."/>
    <s v="53 bottles"/>
    <s v="CGMP Deviations: N-nitroso-quinapril and N-nitroso-hydrochlorothiazide impurity above the acceptable daily intake limit."/>
    <n v="20220321"/>
    <n v="20220406"/>
    <n v="20240828"/>
    <n v="20220413"/>
    <s v="Lot FG5379; Exp. 08/2024"/>
    <s v="Unknown"/>
    <s v="0071-0223"/>
    <s v="0071-5212"/>
    <n v="310809"/>
    <s v="0071-3112-23"/>
    <s v="0071-5212-23"/>
    <s v="0071-7225-23"/>
    <s v="Unknown"/>
    <s v="Unknown"/>
    <s v="Unknown"/>
    <s v="Unknown"/>
    <s v="Unknown"/>
    <s v="Unknown"/>
    <s v="Unknown"/>
    <s v="Unknown"/>
    <s v="Unknown"/>
    <n v="301000000000"/>
    <n v="301000000000"/>
    <s v="0071-7225"/>
    <s v="Unknown"/>
    <s v="Unknown"/>
    <s v="Unknown"/>
    <s v="Unknown"/>
    <s v="Unknown"/>
    <s v="Unknown"/>
    <s v="Unknown"/>
    <s v="Unknown"/>
    <s v="Unknown"/>
    <n v="809854"/>
    <s v="N0000175359"/>
    <s v="N0000175419"/>
    <s v="Thiazides [CS]"/>
    <s v="Thiazide Diuretic [EPC]"/>
    <s v="Unknown"/>
    <s v="Unknown"/>
    <s v="Unknown"/>
    <s v="Unknown"/>
    <s v="Unknown"/>
    <s v="Unknown"/>
    <s v="Unknown"/>
    <n v="809858"/>
    <n v="882559"/>
    <s v="Unknown"/>
    <s v="Unknown"/>
    <s v="Unknown"/>
    <s v="Unknown"/>
    <s v="Unknown"/>
    <s v="Unknown"/>
    <s v="Unknown"/>
    <s v="Unknown"/>
    <s v="Unknown"/>
    <s v="Unknown"/>
    <n v="301000000000"/>
    <s v="Unknown"/>
    <s v="Unknown"/>
    <s v="Unknown"/>
    <s v="Unknown"/>
    <s v="Unknown"/>
    <s v="Unknown"/>
    <s v="Unknown"/>
    <s v="Unknown"/>
    <s v="QUINAPRIL HYDROCHLORIDE"/>
    <s v="Unknown"/>
    <s v="M0471776"/>
    <s v="Unknown"/>
    <s v="Increased Diuresis [PE]"/>
    <s v="Unknown"/>
    <s v="33067B3N2M"/>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Sacramento"/>
    <x v="9"/>
    <s v="United States"/>
    <x v="0"/>
    <s v="Unknown"/>
    <s v="Unknown"/>
    <s v="Unknown"/>
    <s v="Unknown"/>
    <s v="Unknown"/>
    <s v="Unknown"/>
    <s v="Unknown"/>
    <s v="Unknown"/>
    <s v="Unknown"/>
    <s v="Unknown"/>
    <s v="Unknown"/>
    <s v="Unknown"/>
    <s v="Unknown"/>
    <s v="Unknown"/>
    <s v="Unknown"/>
    <s v="Unknown"/>
    <s v="Drugs"/>
    <n v="95714"/>
    <s v="Boulla LLC"/>
    <s v="2108 N ST #7929"/>
    <s v="Unknown"/>
    <n v="95816"/>
    <s v="Voluntary: Firm initiated"/>
    <s v="E-Mail"/>
    <s v="Nationwide within the United States"/>
    <s v="D-0083-2025"/>
    <s v="VitalityXtra Capsules, 500 mg, packaged in 10 count blisters in cartons, Distributed by: VitalityXtra, San Francisco, CA www.vitalityxtra.com"/>
    <s v="Unknown"/>
    <s v="Marketed without an approved NDA/ANDA: Products found to contain undeclared sildenafil and diclofenac."/>
    <n v="20241104"/>
    <n v="20241202"/>
    <s v="Unknown"/>
    <n v="20241211"/>
    <s v="Lot #: 230811, Exp: 08/11/2025"/>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Columbus"/>
    <x v="5"/>
    <s v="United States"/>
    <x v="1"/>
    <s v="ANDA201193"/>
    <s v="OXCARBAZEPINE"/>
    <s v="OXCARBAZEPINE"/>
    <s v="Hikma Pharmaceuticals USA Inc."/>
    <s v="0054-0199"/>
    <s v="HUMAN PRESCRIPTION DRUG"/>
    <s v="ORAL"/>
    <s v="OXCARBAZEPINE"/>
    <s v="Unknown"/>
    <s v="Unknown"/>
    <s v="39c18929-4ff4-4d24-82e3-6505e561ff65"/>
    <s v="45a6d619-9198-45c3-b9fa-1b52325366d3"/>
    <s v="0054-0199-59"/>
    <b v="1"/>
    <s v="VZI5B1W380"/>
    <s v="Unknown"/>
    <s v="Drugs"/>
    <n v="66289"/>
    <s v="Boehringer Ingelheim Roxane Inc"/>
    <s v="1809 Wilson Rd"/>
    <s v="Unknown"/>
    <s v="43228-9579"/>
    <s v="Voluntary: Firm initiated"/>
    <s v="Letter"/>
    <s v="Nationwide"/>
    <s v="D-002-2014"/>
    <s v="Oxcarbazepine Oral Suspension, 300 mg/5 mL, 250 mL bottle, Rx only, Boehringer Ingelheim, Roxane Laboratories, Inc. Columbus, Ohio 43216, NDC 0054-0199-59"/>
    <s v="10,267 bottles"/>
    <s v="Resuspension Problems: Recalled lot did not meet resuspendability requirements."/>
    <n v="20130403"/>
    <n v="20131120"/>
    <n v="20140211"/>
    <n v="20131127"/>
    <s v="Lot # 161304B, Exp. OCT 2013"/>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N0000175753"/>
    <s v="N0000008486"/>
    <s v="Unknown"/>
    <s v="Anti-epileptic Agent [EPC]"/>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Decreased Central Nervous System Disorganized Electrical Activity [PE]"/>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Camarillo"/>
    <x v="9"/>
    <s v="United States"/>
    <x v="1"/>
    <s v="ANDA200909"/>
    <s v="EZETIMIBE AND SIMVASTATIN"/>
    <s v="EZETIMIBE AND SIMVASTATIN"/>
    <s v="Golden State Medical Supply"/>
    <s v="51407-190"/>
    <s v="HUMAN PRESCRIPTION DRUG"/>
    <s v="ORAL"/>
    <s v="EZETIMIBE"/>
    <n v="476345"/>
    <n v="476349"/>
    <s v="0c7b8b84-3a6b-7cb1-e063-6294a90a42a4"/>
    <s v="88cd0e7b-e8dc-6125-e053-2a95a90aaa27"/>
    <s v="51407-190-30"/>
    <s v="Unknown"/>
    <s v="AGG2FN16EV"/>
    <s v="Unknown"/>
    <s v="Drugs"/>
    <n v="88866"/>
    <s v="Golden State Medical Supply Inc."/>
    <s v="5187 Camino Ruiz"/>
    <s v="N/A"/>
    <s v="93012-8601"/>
    <s v="Voluntary: Firm initiated"/>
    <s v="Letter"/>
    <s v="Distributed to two distributors located in AZ and MO"/>
    <s v="D-0228-2022"/>
    <s v="Ezetimibe and Simvastatin Tablets, 10 mg/80mg, 500 tablet bottles, Rx only, Manufactured by Dr. Reddy's Laboratories LA LLC Shreveport, LA 71106 USA, Packaged by GSMS, Incorporated Camarillo, CA 93012 USA; NDC 51407-193-05"/>
    <n v="49"/>
    <s v="Failed Excipient Specification; product manufactured using an excipient found to be OOS for conductivity"/>
    <n v="20211014"/>
    <n v="20211109"/>
    <n v="20221110"/>
    <n v="20211117"/>
    <s v="GS040048, Exp: 1/2023"/>
    <s v="Unknown"/>
    <s v="51407-191"/>
    <s v="51407-192"/>
    <n v="476350"/>
    <s v="51407-190-90"/>
    <s v="51407-190-10"/>
    <s v="51407-191-30"/>
    <s v="51407-191-90"/>
    <s v="51407-191-10"/>
    <s v="51407-192-30"/>
    <s v="51407-192-90"/>
    <s v="51407-192-05"/>
    <s v="51407-192-10"/>
    <s v="51407-193-30"/>
    <s v="51407-193-90"/>
    <s v="Unknown"/>
    <s v="Unknown"/>
    <s v="Unknown"/>
    <s v="51407-193"/>
    <s v="Unknown"/>
    <s v="51407-193-05"/>
    <s v="Unknown"/>
    <s v="Unknown"/>
    <s v="Unknown"/>
    <s v="Unknown"/>
    <s v="Unknown"/>
    <s v="Unknown"/>
    <s v="Unknown"/>
    <n v="476351"/>
    <s v="N0000175589"/>
    <s v="N0000000121"/>
    <s v="Unknown"/>
    <s v="HMG-CoA Reductase Inhibitor [EPC]"/>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SIMVASTATIN"/>
    <s v="Unknown"/>
    <s v="N0000008553"/>
    <s v="N0000175911"/>
    <s v="Decreased Cholesterol Absorption [PE]"/>
    <s v="Unknown"/>
    <s v="EOR26LQQ24"/>
    <s v="Unknown"/>
    <s v="43598-742"/>
    <s v="43598-744"/>
    <s v="43598-743"/>
    <s v="Unknown"/>
    <s v="Unknown"/>
    <s v="Unknown"/>
    <s v="Unknown"/>
    <s v="Unknown"/>
    <s v="Unknown"/>
    <s v="Unknown"/>
    <s v="Unknown"/>
    <s v="Unknown"/>
    <s v="Unknown"/>
    <s v="Unknown"/>
    <s v="Unknown"/>
    <s v="Unknown"/>
    <s v="Unknown"/>
    <s v="Unknown"/>
    <s v="Unknown"/>
    <s v="Unknown"/>
    <s v="Unknown"/>
    <s v="Unknown"/>
    <s v="Unknown"/>
    <s v="Hydroxymethylglutaryl-CoA Reductase Inhibitors [MoA]"/>
    <s v="Unknown"/>
    <s v="Unknown"/>
    <s v="Unknown"/>
    <s v="43598-745"/>
    <s v="Dietary Cholesterol Absorption Inhibitor [EPC]"/>
    <s v="Unknown"/>
    <s v="Unknown"/>
    <s v="Unknown"/>
    <s v="Unknown"/>
    <s v="Unknown"/>
    <s v="Unknown"/>
    <s v="Unknown"/>
    <s v="Unknown"/>
  </r>
  <r>
    <x v="0"/>
    <s v="Lake Forest"/>
    <x v="2"/>
    <s v="United States"/>
    <x v="1"/>
    <s v="ANDA075240"/>
    <s v="LABETALOL HYDROCHLORIDE"/>
    <s v="LABETALOL HYDROCHLORIDE"/>
    <s v="Hospira, Inc."/>
    <s v="0409-0125"/>
    <s v="HUMAN PRESCRIPTION DRUG"/>
    <s v="INTRAVENOUS"/>
    <s v="LABETALOL HYDROCHLORIDE"/>
    <n v="896771"/>
    <s v="Unknown"/>
    <s v="ea339ea4-9c25-41d1-9256-2dd55f509b6a"/>
    <s v="abfc6b75-1ed5-41f1-0484-4597488237bc"/>
    <s v="0409-2267-20"/>
    <b v="1"/>
    <s v="1GEV3BAW9J"/>
    <s v="Unknown"/>
    <s v="Drugs"/>
    <n v="68296"/>
    <s v="Hospira Inc."/>
    <s v="275 N Field Dr"/>
    <s v="Unknown"/>
    <s v="60045-2579"/>
    <s v="Voluntary: Firm initiated"/>
    <s v="Press Release"/>
    <s v="Nationwide"/>
    <s v="D-1424-2014"/>
    <s v="Labetalol Hydrochloride Injection, USP, 100 mg/20 mL (5 mg/mL), 20 mL Multidose Vial, packaged 50/20 mL glass vials/carton, Hospira, Inc., Lake Forest, IL 60045 --- NDC 0409-2267-20"/>
    <s v="45,448 vials"/>
    <s v="Presence of Particulate Matter; metal embedded in the glass vial and visible particles floating in the solution"/>
    <n v="20140516"/>
    <n v="20140708"/>
    <n v="20170316"/>
    <n v="20140716"/>
    <s v="Lot 36225DD, exp 12/01/2015"/>
    <s v="Unknown"/>
    <s v="0409-2267"/>
    <s v="Unknown"/>
    <s v="Unknown"/>
    <s v="0409-2267-54"/>
    <s v="0409-0125-01"/>
    <s v="0409-0125-25"/>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Miami"/>
    <x v="10"/>
    <s v="United States"/>
    <x v="1"/>
    <s v="NDA020870"/>
    <s v="COMBIPATCH (ESTRADIOL/NORETHINDRONE ACETATE TRANSDERMAL SYSTEM)"/>
    <s v="ESTRADIOL/NORETHINDRONE ACETATE TRANSDERMAL SYSTEM"/>
    <s v="Noven Therapeutics, LLC"/>
    <s v="68968-0514"/>
    <s v="HUMAN PRESCRIPTION DRUG"/>
    <s v="TRANSDERMAL"/>
    <s v="ESTRADIOL"/>
    <n v="1251493"/>
    <n v="1251495"/>
    <s v="a8dddb67-4c56-4d1d-a4ce-83dc426d33f6"/>
    <s v="83198ef1-11c4-11e4-9191-0800200c9a66"/>
    <s v="68968-0514-8"/>
    <b v="1"/>
    <s v="9S44LIC7OJ"/>
    <s v="Unknown"/>
    <s v="Drugs"/>
    <n v="88342"/>
    <s v="Noven Pharmaceuticals Inc"/>
    <s v="11960 Sw 144th St"/>
    <s v="N/A"/>
    <s v="33186-6109"/>
    <s v="Voluntary: Firm initiated"/>
    <s v="Letter"/>
    <s v="Nationwide."/>
    <s v="D-0725-2021"/>
    <s v="Combipatch (estradiol/norethindrone acetate transdermal system) 0.05/0.25 mg per day 50/250 Twice Weekly Rx Only a) 2 Systems NDC 68968-0525-2; b) 8 Systems NDC 68968-0525-8, Mfd. by: Noven Pharmaceuticals, Inc., Miami, Florida 33186, Dist. by: Noven Therapeutics LLC, Miami, Florida 33186"/>
    <s v="70,638 boxes"/>
    <s v="Failed Stability Specifications; out of specification for shear."/>
    <n v="20210730"/>
    <n v="20210813"/>
    <s v="Unknown"/>
    <n v="20210825"/>
    <s v="Lots: 88540 Exp. 03/2022; 89118 Exp. 05/2022; 89244 Exp. 07/2022; 89244 (sample lot) Exp. 07/2022"/>
    <s v="Unknown"/>
    <s v="68968-0525"/>
    <s v="Unknown"/>
    <n v="1251499"/>
    <s v="68968-0525-8"/>
    <s v="68968-0525-2"/>
    <s v="Unknown"/>
    <s v="Unknown"/>
    <s v="Unknown"/>
    <s v="Unknown"/>
    <s v="Unknown"/>
    <s v="Unknown"/>
    <s v="Unknown"/>
    <s v="Unknown"/>
    <s v="Unknown"/>
    <s v="Unknown"/>
    <s v="Unknown"/>
    <s v="Unknown"/>
    <s v="Unknown"/>
    <s v="Unknown"/>
    <s v="Unknown"/>
    <s v="Unknown"/>
    <s v="Unknown"/>
    <s v="Unknown"/>
    <s v="Unknown"/>
    <s v="Unknown"/>
    <s v="Unknown"/>
    <s v="Unknown"/>
    <n v="1251501"/>
    <s v="M0447348"/>
    <s v="N0000175825"/>
    <s v="Estradiol Congeners [CS]"/>
    <s v="Estrogen [EPC]"/>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NORETHINDRONE ACETATE"/>
    <s v="Unknown"/>
    <s v="N0000000100"/>
    <s v="Unknown"/>
    <s v="Unknown"/>
    <s v="Unknown"/>
    <s v="4TI98Z838E"/>
    <s v="Unknown"/>
    <s v="Unknown"/>
    <s v="Unknown"/>
    <s v="Unknown"/>
    <s v="Unknown"/>
    <s v="Unknown"/>
    <s v="Unknown"/>
    <s v="Unknown"/>
    <s v="Unknown"/>
    <s v="Unknown"/>
    <s v="Unknown"/>
    <s v="Unknown"/>
    <s v="Unknown"/>
    <s v="Unknown"/>
    <s v="Unknown"/>
    <s v="Unknown"/>
    <s v="Unknown"/>
    <s v="Unknown"/>
    <s v="Unknown"/>
    <s v="Unknown"/>
    <s v="Unknown"/>
    <s v="Unknown"/>
    <s v="Unknown"/>
    <s v="Unknown"/>
    <s v="Estrogen Receptor Agonists [MoA]"/>
    <s v="Unknown"/>
    <s v="Unknown"/>
    <s v="Unknown"/>
    <s v="Unknown"/>
    <s v="Unknown"/>
    <s v="Unknown"/>
    <s v="Unknown"/>
    <s v="Unknown"/>
    <s v="Unknown"/>
    <s v="Unknown"/>
    <s v="Unknown"/>
    <s v="Unknown"/>
    <s v="Unknown"/>
  </r>
  <r>
    <x v="1"/>
    <s v="Athens"/>
    <x v="1"/>
    <s v="United States"/>
    <x v="1"/>
    <s v="Unknown"/>
    <s v="Unknown"/>
    <s v="Unknown"/>
    <s v="Unknown"/>
    <s v="Unknown"/>
    <s v="Unknown"/>
    <s v="Unknown"/>
    <s v="Unknown"/>
    <s v="Unknown"/>
    <s v="Unknown"/>
    <s v="Unknown"/>
    <s v="Unknown"/>
    <s v="Unknown"/>
    <s v="Unknown"/>
    <s v="Unknown"/>
    <s v="Unknown"/>
    <s v="Drugs"/>
    <n v="95826"/>
    <s v="Midlab Incorporated"/>
    <s v="140 Private Brand Way"/>
    <s v="Unknown"/>
    <s v="37303-1401"/>
    <s v="Voluntary: Firm initiated"/>
    <s v="Letter"/>
    <s v="Nationwide in the USA"/>
    <s v="D-0091-2025"/>
    <s v="Genuine Joe Antibacterial Lotion Soap , Chloroxylenol 0.1%, 1 GALLON (3.78L), Manufactured in the U.S.A. for S.P. Richards Co., Atlanta, GA 30339"/>
    <s v="Unknown"/>
    <s v="cGMP Deviations: Out of specification results for micro in hand soap products."/>
    <n v="20241106"/>
    <n v="20241202"/>
    <s v="Unknown"/>
    <n v="20241211"/>
    <s v="Lot 0711241"/>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New Delhi"/>
    <x v="6"/>
    <s v="India"/>
    <x v="1"/>
    <s v="M017"/>
    <s v="THERA CARE COLD HOT MEDICATED PATCH"/>
    <s v="MENTHOL"/>
    <s v="Veridian Healthcare"/>
    <s v="71101-954"/>
    <s v="HUMAN OTC DRUG"/>
    <s v="TOPICAL"/>
    <s v="MENTHOL"/>
    <n v="420222"/>
    <s v="Unknown"/>
    <s v="20d6f5cc-2c81-74a0-e063-6394a90abfed"/>
    <s v="b1ce129d-06a1-7755-e053-2995a90abd7d"/>
    <s v="71101-954-05"/>
    <b v="1"/>
    <s v="L7T10EIP3A"/>
    <n v="846000000000"/>
    <s v="Drugs"/>
    <n v="95595"/>
    <s v="Unexo Life Sciences Private Limited"/>
    <s v="B16, Sector 4, Bawana Industrial Area"/>
    <s v="Unknown"/>
    <s v="N/A"/>
    <s v="Voluntary: Firm initiated"/>
    <s v="Letter"/>
    <s v="Nationwide in the US"/>
    <s v="D-0066-2025"/>
    <s v="THERACARE Cold Hot Medicated Patch, Menthol 5%, 5 patches per box, Manufactured for: Veridian Healthcare, LLC, Gurnee, IL  60031 NDC 71101-954-05, UPC 8 45717 00818 1"/>
    <s v="279,936 patches"/>
    <s v="cGMP Deficiencies"/>
    <n v="20241024"/>
    <n v="20241122"/>
    <s v="Unknown"/>
    <n v="20241204"/>
    <s v="UPC 8 45717 00818 1"/>
    <s v="Unknown"/>
    <s v="Unknown"/>
    <s v="Unknown"/>
    <s v="Unknown"/>
    <s v="Unknown"/>
    <s v="Unknown"/>
    <s v="Unknown"/>
    <s v="Unknown"/>
    <s v="Unknown"/>
    <s v="Unknown"/>
    <s v="Unknown"/>
    <s v="Unknown"/>
    <s v="Unknown"/>
    <s v="Unknown"/>
    <s v="Unknown"/>
    <s v="Unknown"/>
    <n v="84600000000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Eatontown"/>
    <x v="0"/>
    <s v="United States"/>
    <x v="1"/>
    <s v="ANDA076558"/>
    <s v="CIPROFLOXACIN"/>
    <s v="CIPROFLOXACIN"/>
    <s v="Hikma Pharmaceuticals USA Inc."/>
    <s v="0143-9927"/>
    <s v="HUMAN PRESCRIPTION DRUG"/>
    <s v="ORAL"/>
    <s v="CIPROFLOXACIN HYDROCHLORIDE"/>
    <s v="Unknown"/>
    <s v="Unknown"/>
    <s v="96b157af-1b98-4a3e-a0ed-6ebc905e633c"/>
    <s v="3b3d22dc-df09-4910-8c9b-1204eeedbd68"/>
    <s v="0143-9927-01"/>
    <b v="1"/>
    <s v="4BA73M5E37"/>
    <s v="Unknown"/>
    <s v="Drugs"/>
    <n v="64100"/>
    <s v="West-ward Pharmaceutical Corp."/>
    <s v="465 Industrial Way W"/>
    <s v="Unknown"/>
    <s v="07724-2209"/>
    <s v="Voluntary: Firm initiated"/>
    <s v="Letter"/>
    <s v="GA, AR"/>
    <s v="D-220-2013"/>
    <s v="Ciprofloxacin Tablets USP, 500 mg, 100-count bottle, Rx only, Manufactured for West-ward Pharmaceutical Corp., Eatowntown, NJ 07724 by Hikma Pharmaceuticals, Amman, Jordan, NDC 0143-9928-01"/>
    <s v="7,136 units"/>
    <s v="Presence of Foreign Substance(s): A complaint was received for a rubber-like material in a 500 mg Ciprofloxacin tablet."/>
    <n v="20130206"/>
    <n v="20130327"/>
    <n v="20140804"/>
    <n v="20130403"/>
    <s v="Lot #: CB222A, Exp 06/16"/>
    <s v="Unknown"/>
    <s v="0143-9928"/>
    <s v="0143-9929"/>
    <s v="Unknown"/>
    <s v="0143-9927-05"/>
    <s v="0143-9927-30"/>
    <s v="0143-9928-01"/>
    <s v="0143-9928-05"/>
    <s v="0143-9928-30"/>
    <s v="0143-9929-01"/>
    <s v="0143-9929-5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Largo"/>
    <x v="10"/>
    <s v="United States"/>
    <x v="1"/>
    <s v="ANDA210746"/>
    <s v="CLOBAZAM"/>
    <s v="CLOBAZAM"/>
    <s v="VistaPharm, LLC"/>
    <s v="66689-058"/>
    <s v="HUMAN PRESCRIPTION DRUG"/>
    <s v="ORAL"/>
    <s v="CLOBAZAM"/>
    <n v="1366192"/>
    <s v="Unknown"/>
    <s v="cd1c5098-0fdf-4923-8b50-0e7c3e62d8f9"/>
    <s v="879e57c5-47ce-4942-acbb-6263951ba591"/>
    <s v="66689-058-04"/>
    <b v="1"/>
    <s v="2MRO291B4U"/>
    <s v="Unknown"/>
    <s v="Drugs"/>
    <n v="89395"/>
    <s v="VistaPharm, Inc."/>
    <s v="7265 Ulmerton Rd"/>
    <s v="N/A"/>
    <s v="33771-4809"/>
    <s v="Voluntary: Firm initiated"/>
    <s v="Letter"/>
    <s v="Nationwide within the United States including Puerto Rico"/>
    <s v="D-0376-2022"/>
    <s v="Clobazam Oral Suspension 2.5 mg/mL, 120 mL bottles, Rx only,  Manufactured by: VistaPharm, Inc. Largo, FL 33771, NDC 66689-058-04"/>
    <s v="18,456 bottles"/>
    <s v="Failed Stability Specifications"/>
    <n v="20220107"/>
    <n v="20220118"/>
    <n v="20241213"/>
    <n v="20220126"/>
    <s v="Lots #: 678900, 682000, 682400, Exp. 5/31/2022; 680600, 680800, 681000 Exp. 5/30/2022; 683200, 685200 Exp. 6/30/2022; 728900, 733100 Exp. Date 12/31/2022; 738600 Exp. 1/31/2023; 740600, 741600 Exp. 2/28/2023; 749800, 750900, 752400 Exp. 3/31/2023; 775700 Exp. 6/30/2023"/>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N0000175694"/>
    <s v="M0002356"/>
    <s v="Benzodiazepines [CS]"/>
    <s v="Benzodiazepine [EPC]"/>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N0000182137"/>
    <s v="N0000185506"/>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Cytochrome P450 2D6 Inhibitors [MoA]"/>
    <s v="Unknown"/>
    <s v="Unknown"/>
    <s v="Unknown"/>
    <s v="Unknown"/>
    <s v="Unknown"/>
    <s v="Cytochrome P450 3A4 Inducers [MoA]"/>
    <s v="Unknown"/>
    <s v="Unknown"/>
    <s v="Unknown"/>
    <s v="Unknown"/>
    <s v="Unknown"/>
    <s v="Unknown"/>
    <s v="Unknown"/>
  </r>
  <r>
    <x v="1"/>
    <s v="Columbus"/>
    <x v="5"/>
    <s v="United States"/>
    <x v="1"/>
    <s v="ANDA090778"/>
    <s v="DULOXETINE"/>
    <s v="DULOXETINE HYDROCHLORIDE"/>
    <s v="BluePoint"/>
    <s v="68001-413"/>
    <s v="HUMAN PRESCRIPTION DRUG"/>
    <s v="ORAL"/>
    <s v="DULOXETINE HYDROCHLORIDE"/>
    <n v="596926"/>
    <n v="596930"/>
    <s v="1a275613-8b5c-f2f7-e063-6294a90ac153"/>
    <s v="c9492555-6061-47bf-923e-26d4d5528453"/>
    <s v="68001-413-06"/>
    <b v="1"/>
    <s v="9044SC542W"/>
    <n v="368000000000"/>
    <s v="Drugs"/>
    <n v="95849"/>
    <s v="Amerisource Health Services LLC"/>
    <s v="2550 John Glenn Ave Ste A"/>
    <s v="Unknown"/>
    <s v="43217-1188"/>
    <s v="Voluntary: Firm initiated"/>
    <s v="Letter"/>
    <s v="PA, OH, PR"/>
    <s v="D-0099-2025"/>
    <s v="Duloxetine Delayed-Release Capsules, USP, 20 mg, Rx only, 60 count bottles, Manufactured by: Aurobindo Pharma Limited, Hyderabad-500 090, India, For BluePoint Laboratories  NDC 68001-413-06"/>
    <s v="37,916 bottles"/>
    <s v="CGMP Deviations: Presence of N-nitroso-duloxetine impurity above the recommended interim limit"/>
    <n v="20241114"/>
    <n v="20241203"/>
    <s v="Unknown"/>
    <n v="20241211"/>
    <s v="Lots: DT2023001A, DT2023009A, exp date Jan 31, 2025"/>
    <s v="Unknown"/>
    <s v="68001-414"/>
    <s v="68001-415"/>
    <n v="596934"/>
    <s v="68001-414-04"/>
    <s v="68001-414-05"/>
    <s v="68001-414-08"/>
    <s v="68001-415-04"/>
    <s v="68001-415-05"/>
    <s v="68001-415-08"/>
    <s v="Unknown"/>
    <s v="Unknown"/>
    <s v="Unknown"/>
    <s v="Unknown"/>
    <s v="Unknown"/>
    <s v="Unknown"/>
    <n v="368000000000"/>
    <n v="36800000000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Pulaski"/>
    <x v="1"/>
    <s v="United States"/>
    <x v="1"/>
    <s v="ANDA213803"/>
    <s v="SUNITINIB MALATE"/>
    <s v="SUNITINIB MALATE"/>
    <s v="AvKARE"/>
    <s v="42291-901"/>
    <s v="HUMAN PRESCRIPTION DRUG"/>
    <s v="ORAL"/>
    <s v="SUNITINIB MALATE"/>
    <n v="616279"/>
    <n v="616285"/>
    <s v="0772f635-a03d-3c10-e063-6294a90a67ad"/>
    <s v="0772eb61-ca42-39de-e063-6294a90a6632"/>
    <s v="42291-901-28"/>
    <s v="Unknown"/>
    <s v="LVX8N1UT73"/>
    <s v="Unknown"/>
    <s v="Drugs"/>
    <n v="95596"/>
    <s v="AvKARE"/>
    <s v="615 N 1st St"/>
    <s v="Unknown"/>
    <s v="38478-2403"/>
    <s v="Voluntary: Firm initiated"/>
    <s v="Letter"/>
    <s v="Nationwide within the United States"/>
    <s v="D-0104-2025"/>
    <s v="Sunitinib Malate Capsules, 25 mg, 28-count bottles, Rx Only, Manufactured for: AvKARE, Pulaski, TN 38478.  NDC 42291-902-28"/>
    <s v="20 bottles"/>
    <s v="Labeling: Label Mix-Up"/>
    <n v="20241018"/>
    <n v="20241204"/>
    <s v="Unknown"/>
    <n v="20241211"/>
    <s v="Lot #: 100049501, Exp. Date 07/31/2026"/>
    <s v="Unknown"/>
    <s v="42291-902"/>
    <s v="42291-903"/>
    <n v="616289"/>
    <s v="42291-902-28"/>
    <s v="42291-903-28"/>
    <s v="42291-904-28"/>
    <s v="Unknown"/>
    <s v="Unknown"/>
    <s v="Unknown"/>
    <s v="Unknown"/>
    <s v="Unknown"/>
    <s v="Unknown"/>
    <s v="Unknown"/>
    <s v="Unknown"/>
    <s v="Unknown"/>
    <s v="Unknown"/>
    <s v="Unknown"/>
    <s v="42291-904"/>
    <s v="Unknown"/>
    <s v="Unknown"/>
    <s v="Unknown"/>
    <s v="Unknown"/>
    <s v="Unknown"/>
    <s v="Unknown"/>
    <s v="Unknown"/>
    <s v="Unknown"/>
    <s v="Unknown"/>
    <n v="154189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0093-8199"/>
    <s v="0093-8224"/>
    <s v="0093-8229"/>
    <s v="Unknown"/>
    <s v="Unknown"/>
    <s v="Unknown"/>
    <s v="Unknown"/>
    <s v="Unknown"/>
    <s v="Unknown"/>
    <s v="Unknown"/>
    <s v="Unknown"/>
    <s v="Unknown"/>
    <s v="Unknown"/>
    <s v="Unknown"/>
    <s v="Unknown"/>
    <s v="Unknown"/>
    <s v="Unknown"/>
    <s v="Unknown"/>
    <s v="Unknown"/>
    <s v="Unknown"/>
    <s v="Unknown"/>
    <s v="Unknown"/>
    <s v="Unknown"/>
    <s v="Unknown"/>
    <s v="Unknown"/>
    <s v="Unknown"/>
    <s v="Unknown"/>
    <s v="0093-8231"/>
    <s v="Unknown"/>
    <s v="Unknown"/>
    <s v="Unknown"/>
    <s v="Unknown"/>
    <s v="Unknown"/>
    <s v="Unknown"/>
    <s v="Unknown"/>
    <s v="Unknown"/>
    <s v="Unknown"/>
  </r>
  <r>
    <x v="1"/>
    <s v="New York"/>
    <x v="4"/>
    <s v="United States"/>
    <x v="0"/>
    <s v="ANDA077908"/>
    <s v="PROPOFOL"/>
    <s v="PROPOFOL"/>
    <s v="Hospira, Inc."/>
    <s v="0409-4699"/>
    <s v="HUMAN PRESCRIPTION DRUG"/>
    <s v="INTRAVENOUS"/>
    <s v="PROPOFOL"/>
    <n v="1808217"/>
    <n v="1808222"/>
    <s v="4fe7d279-304e-4d41-b374-9263fbde9998"/>
    <s v="28d7ba00-f824-4e55-139a-03f509c099db"/>
    <s v="0409-4699-50"/>
    <b v="1"/>
    <s v="YI7VU623SF"/>
    <s v="Unknown"/>
    <s v="Drugs"/>
    <n v="90785"/>
    <s v="Pfizer Inc."/>
    <s v="235 East 42nd Street"/>
    <s v="Unknown"/>
    <s v="10017-5703"/>
    <s v="Voluntary: Firm initiated"/>
    <s v="Press Release"/>
    <s v="USA Nationwide"/>
    <s v="D-1540-2022"/>
    <s v="PROPOFOL Injectable Emulsion, 1 g/100 mL (10 mg/mL), packaged in 100 mL glass fliptop vial (NDC 0409-4699-54) further packaged in a tray of 10 vials (NDC Carton: 0409-4699-24), Rx only, Distributed by Hospira, Inc., Lake Forest, IL 60045 USA"/>
    <s v="5,390 vials"/>
    <s v="Presence of particulate matter"/>
    <n v="20220822"/>
    <n v="20220919"/>
    <s v="Unknown"/>
    <n v="20220921"/>
    <s v="Lot#: EA7470, Exp 6/1/2023"/>
    <s v="Unknown"/>
    <s v="0409-6010"/>
    <s v="Unknown"/>
    <n v="1808224"/>
    <s v="0409-4699-30"/>
    <s v="0409-4699-53"/>
    <s v="0409-4699-33"/>
    <s v="0409-4699-54"/>
    <s v="0409-4699-24"/>
    <s v="0409-6010-02"/>
    <s v="0409-6010-25"/>
    <s v="Unknown"/>
    <s v="Unknown"/>
    <s v="Unknown"/>
    <s v="Unknown"/>
    <s v="Unknown"/>
    <s v="Unknown"/>
    <s v="Unknown"/>
    <s v="Unknown"/>
    <s v="Unknown"/>
    <s v="Unknown"/>
    <s v="Unknown"/>
    <s v="Unknown"/>
    <s v="Unknown"/>
    <s v="Unknown"/>
    <s v="Unknown"/>
    <s v="Unknown"/>
    <s v="Unknown"/>
    <s v="Unknown"/>
    <s v="N0000175975"/>
    <s v="N0000175681"/>
    <s v="Unknown"/>
    <s v="General Anesthetic [EPC]"/>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General Anesthesia [PE]"/>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Parsippany"/>
    <x v="0"/>
    <s v="United States"/>
    <x v="1"/>
    <s v="ANDA040422"/>
    <s v="DEXTROAMPHETAMINE SACCHARATE, AMPHETAMINE ASPARTATE, DEXTROAMPHETAMINE SULFATE AND AMPHETAMINE SULFATE"/>
    <s v="DEXTROAMPHETAMINE SACCHARATE, AMPHETAMINE ASPARTATE, DEXTROAMPHETAMINE SULFATE AND AMPHETAMINE SULFATE"/>
    <s v="Teva Pharmaceuticals USA, Inc."/>
    <s v="0555-0775"/>
    <s v="HUMAN PRESCRIPTION DRUG"/>
    <s v="ORAL"/>
    <s v="AMPHETAMINE ASPARTATE MONOHYDRATE"/>
    <n v="541363"/>
    <n v="541878"/>
    <s v="88468f3d-7d03-4cee-aabf-3abc8c9b5e38"/>
    <s v="cffbbb15-d776-41ae-a8a6-687f2c07bfa4"/>
    <s v="0555-0971-02"/>
    <b v="1"/>
    <s v="O1ZPV620O4"/>
    <s v="Unknown"/>
    <s v="Drugs"/>
    <n v="85712"/>
    <s v="Teva Pharmaceuticals USA"/>
    <s v="400 Interpace Pkwy"/>
    <s v="N/A"/>
    <s v="07054-1120"/>
    <s v="Voluntary: Firm initiated"/>
    <s v="Letter"/>
    <s v="Nationwide within the United State and Puerto Rico."/>
    <s v="D-1286-2020"/>
    <s v="Dextroamphetamine Saccharate, Amphetamine Aspartate, Dextroamphetamine Sulfate and Amphetamine Sulfate Tablets ( Mixed Amphetamine Salts Product), 15 mg, 100 count bottles, Rx Only, Teva Pharmaceuticals USA, INC. North Wales, PA 19454, NDC 0555-0777-02"/>
    <s v="41,348 bottles"/>
    <s v="Some bottles may contain mixed strengths of the product."/>
    <n v="20200522"/>
    <n v="20200604"/>
    <n v="20210525"/>
    <n v="20200610"/>
    <s v="Lot #: 42617008, Exp. date 10/2021"/>
    <s v="Unknown"/>
    <s v="0555-0971"/>
    <s v="0555-0972"/>
    <n v="541892"/>
    <s v="0555-0775-02"/>
    <s v="0555-0972-02"/>
    <s v="0555-0776-02"/>
    <s v="0555-0777-02"/>
    <s v="0555-0973-02"/>
    <s v="0555-0974-02"/>
    <s v="Unknown"/>
    <s v="Unknown"/>
    <s v="Unknown"/>
    <s v="Unknown"/>
    <s v="Unknown"/>
    <s v="Unknown"/>
    <s v="Unknown"/>
    <s v="Unknown"/>
    <s v="0555-0776"/>
    <s v="0555-0777"/>
    <s v="Unknown"/>
    <s v="Unknown"/>
    <s v="Unknown"/>
    <s v="Unknown"/>
    <s v="Unknown"/>
    <s v="Unknown"/>
    <s v="Unknown"/>
    <s v="Unknown"/>
    <n v="577957"/>
    <s v="Unknown"/>
    <s v="Unknown"/>
    <s v="Unknown"/>
    <s v="Unknown"/>
    <s v="0555-0973"/>
    <s v="0555-0974"/>
    <s v="Unknown"/>
    <s v="Unknown"/>
    <s v="Unknown"/>
    <s v="Unknown"/>
    <s v="Unknown"/>
    <n v="577961"/>
    <n v="687043"/>
    <n v="1009145"/>
    <s v="Unknown"/>
    <s v="Unknown"/>
    <s v="Unknown"/>
    <s v="Unknown"/>
    <s v="Unknown"/>
    <s v="Unknown"/>
    <s v="Unknown"/>
    <s v="Unknown"/>
    <s v="Unknown"/>
    <s v="Unknown"/>
    <s v="Unknown"/>
    <s v="Unknown"/>
    <s v="Unknown"/>
    <s v="Unknown"/>
    <s v="Unknown"/>
    <s v="Unknown"/>
    <s v="Unknown"/>
    <s v="Unknown"/>
    <s v="AMPHETAMINE SULFATE"/>
    <s v="DEXTROAMPHETAMINE SACCHARATE"/>
    <s v="Unknown"/>
    <s v="Unknown"/>
    <s v="Unknown"/>
    <s v="Unknown"/>
    <s v="6DPV8NK46S"/>
    <s v="G83415V073"/>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DEXTROAMPHETAMINE SULFATE"/>
    <s v="JJ768O327N"/>
    <s v="Unknown"/>
    <s v="Unknown"/>
    <s v="Unknown"/>
    <s v="Unknown"/>
    <s v="Unknown"/>
  </r>
  <r>
    <x v="0"/>
    <s v="Parsippany"/>
    <x v="0"/>
    <s v="United States"/>
    <x v="1"/>
    <s v="ANDA040422"/>
    <s v="DEXTROAMPHETAMINE SACCHARATE, AMPHETAMINE ASPARTATE, DEXTROAMPHETAMINE SULFATE AND AMPHETAMINE SULFATE"/>
    <s v="DEXTROAMPHETAMINE SACCHARATE, AMPHETAMINE ASPARTATE, DEXTROAMPHETAMINE SULFATE AND AMPHETAMINE SULFATE"/>
    <s v="Teva Pharmaceuticals USA, Inc."/>
    <s v="0555-0775"/>
    <s v="HUMAN PRESCRIPTION DRUG"/>
    <s v="ORAL"/>
    <s v="AMPHETAMINE ASPARTATE MONOHYDRATE"/>
    <n v="541363"/>
    <n v="541878"/>
    <s v="88468f3d-7d03-4cee-aabf-3abc8c9b5e38"/>
    <s v="cffbbb15-d776-41ae-a8a6-687f2c07bfa4"/>
    <s v="0555-0971-02"/>
    <b v="1"/>
    <s v="O1ZPV620O4"/>
    <s v="Unknown"/>
    <s v="Drugs"/>
    <n v="90803"/>
    <s v="Teva Pharmaceuticals USA Inc"/>
    <s v="400 Interpace Pkwy Bldg A"/>
    <s v="Unknown"/>
    <s v="07054-1120"/>
    <s v="Voluntary: Firm initiated"/>
    <s v="Letter"/>
    <s v="Nationwide in the US."/>
    <s v="D-1539-2022"/>
    <s v="Dextroamphetamine Saccharate, Amphetamine Aspartate, Dextroamphetamine Sulfate and Amphetamine Sulfate Tablets (Mixed Salts of a Single Entity Amphetamine Product), 15 mg, Rx Only, 100 tablets per bottle, Teva Pharmaceuticals USA, Inc. North Wales, PA 19454, NDC 0555-0777-02."/>
    <s v="83,703 bottles"/>
    <s v="Labeling: Label Error on Declared Strength; A sealed 100-count bottle labeled with 15 mg actually contained 100 tablets of 20 mg strength of the drug product."/>
    <n v="20220829"/>
    <n v="20220916"/>
    <n v="20230814"/>
    <n v="20220921"/>
    <s v="Lot #: 100023340, Exp 10/2024"/>
    <s v="Unknown"/>
    <s v="0555-0971"/>
    <s v="0555-0972"/>
    <n v="541892"/>
    <s v="0555-0775-02"/>
    <s v="0555-0972-02"/>
    <s v="0555-0776-02"/>
    <s v="0555-0777-02"/>
    <s v="0555-0973-02"/>
    <s v="0555-0974-02"/>
    <s v="Unknown"/>
    <s v="Unknown"/>
    <s v="Unknown"/>
    <s v="Unknown"/>
    <s v="Unknown"/>
    <s v="Unknown"/>
    <s v="Unknown"/>
    <s v="Unknown"/>
    <s v="0555-0776"/>
    <s v="0555-0777"/>
    <s v="Unknown"/>
    <s v="Unknown"/>
    <s v="Unknown"/>
    <s v="Unknown"/>
    <s v="Unknown"/>
    <s v="Unknown"/>
    <s v="Unknown"/>
    <s v="Unknown"/>
    <n v="577957"/>
    <s v="Unknown"/>
    <s v="Unknown"/>
    <s v="Unknown"/>
    <s v="Unknown"/>
    <s v="0555-0973"/>
    <s v="0555-0974"/>
    <s v="Unknown"/>
    <s v="Unknown"/>
    <s v="Unknown"/>
    <s v="Unknown"/>
    <s v="Unknown"/>
    <n v="577961"/>
    <n v="687043"/>
    <n v="1009145"/>
    <s v="Unknown"/>
    <s v="Unknown"/>
    <s v="Unknown"/>
    <s v="Unknown"/>
    <s v="Unknown"/>
    <s v="Unknown"/>
    <s v="Unknown"/>
    <s v="Unknown"/>
    <s v="Unknown"/>
    <s v="Unknown"/>
    <s v="Unknown"/>
    <s v="Unknown"/>
    <s v="Unknown"/>
    <s v="Unknown"/>
    <s v="Unknown"/>
    <s v="Unknown"/>
    <s v="Unknown"/>
    <s v="Unknown"/>
    <s v="AMPHETAMINE SULFATE"/>
    <s v="DEXTROAMPHETAMINE SACCHARATE"/>
    <s v="Unknown"/>
    <s v="Unknown"/>
    <s v="Unknown"/>
    <s v="Unknown"/>
    <s v="6DPV8NK46S"/>
    <s v="G83415V073"/>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DEXTROAMPHETAMINE SULFATE"/>
    <s v="JJ768O327N"/>
    <s v="Unknown"/>
    <s v="Unknown"/>
    <s v="Unknown"/>
    <s v="Unknown"/>
    <s v="Unknown"/>
  </r>
  <r>
    <x v="0"/>
    <s v="Parsippany"/>
    <x v="0"/>
    <s v="United States"/>
    <x v="1"/>
    <s v="NDA208799"/>
    <s v="AIRDUO DIGIHALER"/>
    <s v="FLUTICASONE PROPIONATE AND SALMETEROL"/>
    <s v="Teva Respiratory, LLC"/>
    <s v="59310-129"/>
    <s v="HUMAN PRESCRIPTION DRUG"/>
    <s v="RESPIRATORY (INHALATION)"/>
    <s v="FLUTICASONE PROPIONATE"/>
    <n v="2395826"/>
    <n v="2395828"/>
    <s v="d1917d37-c04e-4cd3-84fa-ab7f61ef7b0b"/>
    <s v="ac79cc13-4241-427c-a69b-6b00dafcef00"/>
    <s v="59310-111-06"/>
    <b v="1"/>
    <s v="6EW8Q962A5"/>
    <n v="359000000000"/>
    <s v="Drugs"/>
    <n v="88738"/>
    <s v="Teva Pharmaceuticals USA"/>
    <s v="400 Interpace Pkwy"/>
    <s v="N/A"/>
    <s v="07054-1120"/>
    <s v="Voluntary: Firm initiated"/>
    <s v="Letter"/>
    <s v="USA Nationwide"/>
    <s v="D-0021-2022"/>
    <s v="AirDuo Digihaler 113/14 (fluticasone propionate 113 mcg and salmeterol 14 mcg) Inhalation Powder, Sample Not For Sale, Rx Only, Mktd by: Teva Respiratory, LLC , Frazer, PA 19355, Manufactured in Ireland,  NDC 59310-520-08"/>
    <s v="10,665 inhalers"/>
    <s v="Subpotent drug: OOS results of Label Claimed Emitted Dose for salmeterol"/>
    <n v="20210922"/>
    <n v="20211021"/>
    <n v="20230216"/>
    <n v="20211027"/>
    <s v="AFR17A"/>
    <s v="Unknown"/>
    <s v="59310-111"/>
    <s v="59310-136"/>
    <n v="2395829"/>
    <s v="59310-129-06"/>
    <s v="59310-136-06"/>
    <s v="59310-510-08"/>
    <s v="59310-520-08"/>
    <s v="59310-530-08"/>
    <s v="Unknown"/>
    <s v="Unknown"/>
    <s v="Unknown"/>
    <s v="Unknown"/>
    <s v="Unknown"/>
    <s v="Unknown"/>
    <s v="Unknown"/>
    <s v="Unknown"/>
    <s v="Unknown"/>
    <s v="59310-510"/>
    <s v="59310-520"/>
    <s v="Unknown"/>
    <s v="Unknown"/>
    <s v="Unknown"/>
    <s v="Unknown"/>
    <s v="Unknown"/>
    <s v="Unknown"/>
    <s v="Unknown"/>
    <s v="Unknown"/>
    <n v="2395831"/>
    <s v="Unknown"/>
    <s v="Unknown"/>
    <s v="Unknown"/>
    <s v="Unknown"/>
    <s v="59310-530"/>
    <s v="Unknown"/>
    <s v="Unknown"/>
    <s v="Unknown"/>
    <s v="Unknown"/>
    <s v="Unknown"/>
    <s v="Unknown"/>
    <n v="2395832"/>
    <n v="2395834"/>
    <s v="Unknown"/>
    <s v="Unknown"/>
    <s v="Unknown"/>
    <s v="Unknown"/>
    <s v="Unknown"/>
    <s v="Unknown"/>
    <s v="Unknown"/>
    <s v="Unknown"/>
    <s v="Unknown"/>
    <s v="Unknown"/>
    <s v="Unknown"/>
    <s v="Unknown"/>
    <s v="Unknown"/>
    <s v="Unknown"/>
    <s v="Unknown"/>
    <s v="Unknown"/>
    <s v="Unknown"/>
    <s v="Unknown"/>
    <s v="Unknown"/>
    <s v="SALMETEROL XINAFOATE"/>
    <s v="Unknown"/>
    <s v="Unknown"/>
    <s v="Unknown"/>
    <s v="Unknown"/>
    <s v="Unknown"/>
    <s v="O2GMZ0LF5W"/>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Fresno"/>
    <x v="9"/>
    <s v="United States"/>
    <x v="1"/>
    <s v="Unknown"/>
    <s v="Unknown"/>
    <s v="Unknown"/>
    <s v="Unknown"/>
    <s v="Unknown"/>
    <s v="Unknown"/>
    <s v="Unknown"/>
    <s v="Unknown"/>
    <s v="Unknown"/>
    <s v="Unknown"/>
    <s v="Unknown"/>
    <s v="Unknown"/>
    <s v="Unknown"/>
    <s v="Unknown"/>
    <s v="Unknown"/>
    <s v="Unknown"/>
    <s v="Drugs"/>
    <n v="95819"/>
    <s v="Generitech Corporation"/>
    <s v="4967 E Lansing Way"/>
    <s v="Unknown"/>
    <s v="93727-7408"/>
    <s v="Voluntary: Firm initiated"/>
    <s v="E-Mail"/>
    <s v="CA"/>
    <s v="D-0111-2025"/>
    <s v="10 Irregular Pigmentation, Accelerator, Pigment Fading Activator, Only Your Rx, Nature + Science, 1 fl. oz., 30 mL Bottle, For Professional Use Only, Only YourRx Inc., Chatsworth, CA 91311, Made in USA, Onlyyourrx.com."/>
    <s v="77.5lbs"/>
    <s v="CGMP Deviations: Inconsistency in the water systems."/>
    <n v="20241122"/>
    <n v="20241205"/>
    <s v="Unknown"/>
    <n v="20241211"/>
    <s v="Lot #: 2400017, Exp: 4/30/2026"/>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Plainsboro"/>
    <x v="0"/>
    <s v="United States"/>
    <x v="1"/>
    <s v="ANDA202289"/>
    <s v="LOSARTAN POTASSIUM AND HYDROCHLOROTHIAZIDE"/>
    <s v="LOSARTAN POTASSIUM AND HYDROCHLOROTHIAZIDE"/>
    <s v="Macleods Pharmaceuticals Limited"/>
    <s v="33342-050"/>
    <s v="HUMAN PRESCRIPTION DRUG"/>
    <s v="ORAL"/>
    <s v="HYDROCHLOROTHIAZIDE"/>
    <n v="979464"/>
    <n v="979468"/>
    <s v="6e1eca59-3423-4834-89c7-e776c53e53da"/>
    <s v="a04b5622-2c49-4d61-92b1-5dc523af7a24"/>
    <s v="33342-050-07"/>
    <b v="1"/>
    <s v="0J48LPH2TH"/>
    <n v="333000000000"/>
    <s v="Drugs"/>
    <n v="90037"/>
    <s v="Macleods Pharma Usa Inc"/>
    <s v="666 Plainsboro Rd Bldg 200 Ste 230"/>
    <s v="N/A"/>
    <s v="08536-0009"/>
    <s v="Voluntary: Firm initiated"/>
    <s v="Letter"/>
    <s v="Product was distributed nationwide."/>
    <s v="D-0836-2022"/>
    <s v="Losartan Potassium &amp; Hydrochlorothiazide Tablets, USP, 100 mg/25 mg, a) 30-count bottles (NDC# 33342-052-07), b) 90-count bottles (NDC # 33342-052-10)  c) 1000-count bottles (NDC # 33342-052-44), Rx Only, MFR: Macleods Pharma USA, Inc. Plainsboro, NJ 08536"/>
    <s v="N/A"/>
    <s v="CGMP Deviations- AZIDO Impurity levels observed to be above acceptable limits"/>
    <n v="20220415"/>
    <n v="20220503"/>
    <n v="20231013"/>
    <n v="20220511"/>
    <s v="Lot #   BLM2106B, exp. date 05/2023  BLM2101A, exp. date 01/2025  BLM2102A, exp. date 02/2023  BLM2106A, exp. date 05/2023  BLM2103B, exp. date 02/2023  BLM2104A, exp. date 05/2023  BLM2110A, exp. date 06/2023"/>
    <s v="Unknown"/>
    <s v="33342-051"/>
    <s v="33342-052"/>
    <n v="979471"/>
    <s v="33342-050-10"/>
    <s v="33342-050-44"/>
    <s v="33342-050-12"/>
    <s v="33342-051-07"/>
    <s v="33342-051-10"/>
    <s v="33342-051-44"/>
    <s v="33342-051-12"/>
    <s v="33342-052-07"/>
    <s v="33342-052-10"/>
    <s v="33342-052-44"/>
    <s v="33342-052-12"/>
    <s v="Unknown"/>
    <n v="333000000000"/>
    <n v="333000000000"/>
    <s v="Unknown"/>
    <s v="Unknown"/>
    <s v="Unknown"/>
    <s v="Unknown"/>
    <s v="Unknown"/>
    <s v="Unknown"/>
    <s v="Unknown"/>
    <s v="Unknown"/>
    <s v="Unknown"/>
    <s v="Unknown"/>
    <s v="Unknown"/>
    <s v="N0000175359"/>
    <s v="N0000175419"/>
    <s v="Thiazides [CS]"/>
    <s v="Thiazide Diuretic [EPC]"/>
    <s v="Unknown"/>
    <s v="Unknown"/>
    <s v="Unknown"/>
    <s v="Unknown"/>
    <s v="Unknown"/>
    <s v="Unknown"/>
    <s v="Unknown"/>
    <s v="Unknown"/>
    <s v="Unknown"/>
    <s v="Unknown"/>
    <s v="Unknown"/>
    <s v="Unknown"/>
    <s v="Unknown"/>
    <s v="Unknown"/>
    <s v="Unknown"/>
    <s v="Unknown"/>
    <s v="Unknown"/>
    <s v="Unknown"/>
    <s v="Unknown"/>
    <n v="333000000000"/>
    <n v="333000000000"/>
    <n v="333000000000"/>
    <n v="333000000000"/>
    <s v="Unknown"/>
    <s v="Unknown"/>
    <s v="Unknown"/>
    <s v="Unknown"/>
    <s v="Unknown"/>
    <s v="LOSARTAN POTASSIUM"/>
    <s v="Unknown"/>
    <s v="M0471776"/>
    <s v="Unknown"/>
    <s v="Increased Diuresis [PE]"/>
    <s v="Unknown"/>
    <s v="3ST302B24A"/>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Waltham"/>
    <x v="11"/>
    <s v="United States"/>
    <x v="2"/>
    <s v="NDA020171"/>
    <s v="DELFLEX"/>
    <s v="DEXTROSE MONOHYDRATE, SODIUM CHLORIDE, SODIUM LACTATE, CALCIUM CHLORIDE, MAGNESIUM CHLORIDE"/>
    <s v="Fresenius Medical Care North America"/>
    <s v="49230-206"/>
    <s v="HUMAN PRESCRIPTION DRUG"/>
    <s v="INTRAPERITONEAL"/>
    <s v="CALCIUM CHLORIDE"/>
    <s v="Unknown"/>
    <s v="Unknown"/>
    <s v="26cdf03c-19f3-42e1-e063-6394a90a2fd0"/>
    <s v="bbc5b820-4973-11e2-a192-0002a5d5c51b"/>
    <s v="49230-206-20"/>
    <b v="1"/>
    <s v="M4I0D6VV5M"/>
    <s v="Unknown"/>
    <s v="Drugs"/>
    <n v="87907"/>
    <s v="Fresenius Medical Care Holdings, Inc."/>
    <s v="920 Winter St Bld 950"/>
    <s v="N/A"/>
    <s v="02451-1521"/>
    <s v="Voluntary: Firm initiated"/>
    <s v="Letter"/>
    <s v="Nationwide within the United States"/>
    <s v="D-0610-2021"/>
    <s v="DELFLEX Peritoneal Dialysis Solution with 1.5% Dextrose, Low magnesium, Low Calcium, packaged in a) 3000 mL bags (NDC 49230-206-30)  and b) 5000mL bags, 2 packs (NDC 49230-206-50), Rx only, Fresenius Medical Care NA, Waltham, MA 02451"/>
    <s v="285 cases"/>
    <s v="Temperature Abuse: Product exposed to temperature outside specified limits."/>
    <n v="20210428"/>
    <n v="20210609"/>
    <n v="20210917"/>
    <n v="20210616"/>
    <s v="Lot #: a) 20SU03060, Exp Date. July 2022; b) 21AU02015, 21AU02038, Exp. Date August 2022"/>
    <s v="Unknown"/>
    <s v="49230-209"/>
    <s v="49230-212"/>
    <s v="Unknown"/>
    <s v="49230-206-30"/>
    <s v="49230-206-32"/>
    <s v="49230-206-50"/>
    <s v="49230-206-60"/>
    <s v="49230-206-62"/>
    <s v="49230-206-52"/>
    <s v="49230-209-23"/>
    <s v="49230-209-30"/>
    <s v="49230-209-32"/>
    <s v="49230-209-50"/>
    <s v="49230-209-60"/>
    <s v="Unknown"/>
    <s v="Unknown"/>
    <s v="Unknown"/>
    <s v="Unknown"/>
    <s v="Unknown"/>
    <s v="49230-209-62"/>
    <s v="49230-209-52"/>
    <s v="49230-212-23"/>
    <s v="49230-212-30"/>
    <s v="49230-212-32"/>
    <s v="49230-212-50"/>
    <s v="49230-212-60"/>
    <s v="49230-212-62"/>
    <s v="Unknown"/>
    <s v="Unknown"/>
    <s v="Unknown"/>
    <s v="Unknown"/>
    <s v="Unknown"/>
    <s v="Unknown"/>
    <s v="Unknown"/>
    <s v="Unknown"/>
    <s v="Unknown"/>
    <s v="Unknown"/>
    <s v="Unknown"/>
    <s v="Unknown"/>
    <s v="Unknown"/>
    <s v="Unknown"/>
    <s v="Unknown"/>
    <s v="Unknown"/>
    <s v="Unknown"/>
    <s v="Unknown"/>
    <s v="Unknown"/>
    <s v="Unknown"/>
    <s v="49230-212-52"/>
    <s v="Unknown"/>
    <s v="Unknown"/>
    <s v="Unknown"/>
    <s v="Unknown"/>
    <s v="Unknown"/>
    <s v="Unknown"/>
    <s v="Unknown"/>
    <s v="Unknown"/>
    <s v="Unknown"/>
    <s v="Unknown"/>
    <s v="Unknown"/>
    <s v="Unknown"/>
    <s v="DEXTROSE MONOHYDRATE"/>
    <s v="MAGNESIUM CHLORIDE"/>
    <s v="Unknown"/>
    <s v="Unknown"/>
    <s v="Unknown"/>
    <s v="Unknown"/>
    <s v="LX22YL083G"/>
    <s v="02F3473H9O"/>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SODIUM CHLORIDE"/>
    <s v="451W47IQ8X"/>
    <s v="SODIUM LACTATE"/>
    <s v="TU7HW0W0QT"/>
    <s v="Unknown"/>
    <s v="Unknown"/>
    <s v="Unknown"/>
  </r>
  <r>
    <x v="1"/>
    <s v="Athens"/>
    <x v="1"/>
    <s v="United States"/>
    <x v="1"/>
    <s v="Unknown"/>
    <s v="Unknown"/>
    <s v="Unknown"/>
    <s v="Unknown"/>
    <s v="Unknown"/>
    <s v="Unknown"/>
    <s v="Unknown"/>
    <s v="Unknown"/>
    <s v="Unknown"/>
    <s v="Unknown"/>
    <s v="Unknown"/>
    <s v="Unknown"/>
    <s v="Unknown"/>
    <s v="Unknown"/>
    <s v="Unknown"/>
    <s v="Unknown"/>
    <s v="Drugs"/>
    <n v="95826"/>
    <s v="Midlab Incorporated"/>
    <s v="140 Private Brand Way"/>
    <s v="Unknown"/>
    <s v="37303-1401"/>
    <s v="Voluntary: Firm initiated"/>
    <s v="Letter"/>
    <s v="Nationwide in the USA"/>
    <s v="D-0088-2025"/>
    <s v="boardwalk ANTIBACTERIAL HANDSOAP REFILL, Chloroxylenol 0.1%, 1 gal. (3.78 L), Manufactured for Essendant Co., One Parkway North, Deerfield, IL 60015"/>
    <s v="Unknown"/>
    <s v="cGMP Deviations: Out of specification results for micro in hand soap products."/>
    <n v="20241106"/>
    <n v="20241202"/>
    <s v="Unknown"/>
    <n v="20241211"/>
    <s v="Lot 0711241"/>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Richmond"/>
    <x v="12"/>
    <s v="United States"/>
    <x v="1"/>
    <s v="NDA019430"/>
    <s v="EPIPEN"/>
    <s v="EPINEPHRINE"/>
    <s v="Mylan Specialty L.P."/>
    <s v="49502-500"/>
    <s v="HUMAN PRESCRIPTION DRUG"/>
    <s v="INTRAMUSCULAR"/>
    <s v="EPINEPHRINE"/>
    <s v="Unknown"/>
    <s v="Unknown"/>
    <s v="2431ada0-9e96-491f-a281-ffd56e21fbba"/>
    <s v="7560c201-9246-487c-a13b-6295db04274a"/>
    <s v="49502-500-01"/>
    <b v="1"/>
    <s v="YKH834O4BH"/>
    <s v="Unknown"/>
    <s v="Drugs"/>
    <n v="89646"/>
    <s v="Mckesson Medical-Surgical Inc. Corporate Office"/>
    <s v="9954 Maryland Drive"/>
    <s v="Deep Run Iii Ste. 4000"/>
    <n v="23233"/>
    <s v="Voluntary: Firm initiated"/>
    <s v="Letter"/>
    <s v="USA Nationwide."/>
    <s v="D-0993-2022"/>
    <s v="EPI-PEN 2-PAK (epinephrine injection, USP), Single-Dose Auto-Injectors 0.3 mg, Rx only, Manufactured for: Mylan Specialty LP., NDC 49502-500-02"/>
    <s v="5 cartons"/>
    <s v="cGMP deviations: Temperature abuse"/>
    <n v="20220413"/>
    <n v="20220609"/>
    <n v="20231130"/>
    <n v="20220615"/>
    <s v="McKesson Medical-Surgical (MMS) is not able to identify the particular lot number received by a particular consignee for the recalled prescription products. Each letter includes the date it was distributed to customers and the dates that impacted product may have been shipped to the customer.     The letters clearly explain that consignees should identify product received from MMS between June 1 and September 30, 2021. A consignee should be able to use its own records to determine whether it received an impacted product from MMS during that timeframe and whether it still has any of that product in inventory. The recall notification letter informs consignees that they may contact Sedgwick if they have any questions."/>
    <s v="Unknown"/>
    <s v="49502-501"/>
    <s v="Unknown"/>
    <s v="Unknown"/>
    <s v="49502-500-02"/>
    <s v="49502-500-92"/>
    <s v="49502-501-01"/>
    <s v="49502-501-02"/>
    <s v="49502-501-92"/>
    <s v="Unknown"/>
    <s v="Unknown"/>
    <s v="Unknown"/>
    <s v="Unknown"/>
    <s v="Unknown"/>
    <s v="Unknown"/>
    <s v="Unknown"/>
    <s v="Unknown"/>
    <s v="Unknown"/>
    <s v="Unknown"/>
    <s v="Unknown"/>
    <s v="Unknown"/>
    <s v="Unknown"/>
    <s v="Unknown"/>
    <s v="Unknown"/>
    <s v="Unknown"/>
    <s v="Unknown"/>
    <s v="Unknown"/>
    <s v="Unknown"/>
    <s v="Unknown"/>
    <s v="N0000000209"/>
    <s v="N0000000245"/>
    <s v="Catecholamines [CS]"/>
    <s v="alpha-Adrenergic Agonist [EPC]"/>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N0000175552"/>
    <s v="N0000175555"/>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Adrenergic alpha-Agonists [MoA]"/>
    <s v="Unknown"/>
    <s v="Unknown"/>
    <s v="Unknown"/>
    <s v="Unknown"/>
    <s v="beta-Adrenergic Agonist [EPC]"/>
    <s v="Adrenergic beta-Agonists [MoA]"/>
    <s v="Unknown"/>
    <s v="Unknown"/>
    <s v="Unknown"/>
    <s v="Unknown"/>
    <s v="N0000175570"/>
    <s v="M0003647"/>
    <s v="Catecholamine [EPC]"/>
  </r>
  <r>
    <x v="1"/>
    <s v="Mahwah"/>
    <x v="0"/>
    <s v="United States"/>
    <x v="1"/>
    <s v="ANDA212317"/>
    <s v="DILTIAZEM HYDROCHLORIDE"/>
    <s v="DILTIAZEM HYDROCHLORIDE"/>
    <s v="GLENMARK PHARMACEUTICALS INC., USA"/>
    <s v="68462-562"/>
    <s v="HUMAN PRESCRIPTION DRUG"/>
    <s v="ORAL"/>
    <s v="DILTIAZEM HYDROCHLORIDE"/>
    <n v="830865"/>
    <n v="830869"/>
    <s v="52b392c0-72cb-4a91-8d27-5cacdb8a7778"/>
    <s v="fb1606ea-1cff-46fd-b8e5-8135da76436c"/>
    <s v="68462-850-01"/>
    <b v="1"/>
    <s v="OLH94387TE"/>
    <n v="368000000000"/>
    <s v="Drugs"/>
    <n v="95660"/>
    <s v="Glenmark Pharmaceuticals Inc., USA"/>
    <s v="750 Corporate Dr"/>
    <s v="Unknown"/>
    <s v="07430-2009"/>
    <s v="Voluntary: Firm initiated"/>
    <s v="Letter"/>
    <s v="Nationwide in the USA"/>
    <s v="D-0093-2025"/>
    <s v="Diltiazem Hydrochloride Extended-Release Capsules, USP 60 mg, Twice-a-Day Dosage, Rx Only, 100 Capsules per bottle, Manufactured for: Glenmark Pharmaceuticals Inc., USA Mahwah, NJ 07430, Product of India, NDC 68462-850-01."/>
    <s v="34848 bottles"/>
    <s v="cGMP Deviations: Presence of N-nitroso-Desmethyl-Diltiazem impurity above FDA recommended interim limit."/>
    <n v="20241101"/>
    <n v="20241203"/>
    <s v="Unknown"/>
    <n v="20241211"/>
    <s v="Lot #s: 17222544, Exp. Date 11/30/2024 ; 17230784, Exp Date 03/31/2025; 17231080, Exp. Date 04/30/2025"/>
    <s v="Unknown"/>
    <s v="68462-850"/>
    <s v="68462-851"/>
    <n v="830872"/>
    <s v="68462-851-01"/>
    <s v="68462-562-01"/>
    <s v="Unknown"/>
    <s v="Unknown"/>
    <s v="Unknown"/>
    <s v="Unknown"/>
    <s v="Unknown"/>
    <s v="Unknown"/>
    <s v="Unknown"/>
    <s v="Unknown"/>
    <s v="Unknown"/>
    <s v="Unknown"/>
    <n v="368000000000"/>
    <n v="36800000000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Dublin"/>
    <x v="5"/>
    <s v="United States"/>
    <x v="1"/>
    <s v="ANDA205209"/>
    <s v="DARIFENACIN"/>
    <s v="DARIFENACIN"/>
    <s v="Torrent Pharmaceuticals Limited"/>
    <s v="13668-202"/>
    <s v="HUMAN PRESCRIPTION DRUG"/>
    <s v="ORAL"/>
    <s v="DARIFENACIN HYDROBROMIDE"/>
    <s v="Unknown"/>
    <s v="Unknown"/>
    <s v="47ec85f7-660e-43dc-b84e-452556ad62c7"/>
    <s v="e84f1ae3-b9a2-4a15-a299-c75373891cc1"/>
    <s v="13668-202-30"/>
    <b v="1"/>
    <s v="CR02EYQ8GV"/>
    <n v="314000000000"/>
    <s v="Drugs"/>
    <n v="87512"/>
    <s v="Cardinal Health Inc."/>
    <s v="7000 Cardinal Pl"/>
    <s v="N/A"/>
    <s v="43017-1091"/>
    <s v="Voluntary: Firm initiated"/>
    <s v="Letter"/>
    <s v="FL, GA, SC"/>
    <s v="D-0583-2021"/>
    <s v="Darifenacin Extended-release Tablets 7.5 mg 30 Tablets Rx only Manufactured by: Torrent Pharmaceuticals LTD. Indrad-382 721, India Manufactured for: Torrent Pharma Inc. Basking Ridge, NJ 07920, NDC 13668-202-30"/>
    <s v="52 bottles"/>
    <s v="CGMP Deviations: Intermittent exposure to temperature excursion during storage."/>
    <n v="20210315"/>
    <n v="20210524"/>
    <n v="20240617"/>
    <n v="20210602"/>
    <s v="BDZ7G005"/>
    <s v="Unknown"/>
    <s v="13668-203"/>
    <s v="Unknown"/>
    <s v="Unknown"/>
    <s v="13668-202-90"/>
    <s v="13668-202-05"/>
    <s v="13668-203-30"/>
    <s v="13668-203-05"/>
    <s v="13668-203-9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New Delhi"/>
    <x v="6"/>
    <s v="India"/>
    <x v="1"/>
    <s v="Unknown"/>
    <s v="Unknown"/>
    <s v="Unknown"/>
    <s v="Unknown"/>
    <s v="Unknown"/>
    <s v="Unknown"/>
    <s v="Unknown"/>
    <s v="Unknown"/>
    <s v="Unknown"/>
    <s v="Unknown"/>
    <s v="Unknown"/>
    <s v="Unknown"/>
    <s v="Unknown"/>
    <s v="Unknown"/>
    <s v="Unknown"/>
    <s v="Unknown"/>
    <s v="Drugs"/>
    <n v="95595"/>
    <s v="Unexo Life Sciences Private Limited"/>
    <s v="B16, Sector 4, Bawana Industrial Area"/>
    <s v="Unknown"/>
    <s v="N/A"/>
    <s v="Voluntary: Firm initiated"/>
    <s v="Letter"/>
    <s v="Nationwide in the US"/>
    <s v="D-0062-2025"/>
    <s v="ABSORBINE jr. Extra Large BACK PATCH, Menthol 5%, 1 extra large patch per box, Distributed By: Absorbine Jr., LLC, Chattanooga, TN 37402 UPC 8 89476 41218 6, UPC 8 89476 41236 0"/>
    <s v="6,848,820 patches"/>
    <s v="cGMP Deficiencies"/>
    <n v="20241024"/>
    <n v="20241122"/>
    <s v="Unknown"/>
    <n v="20241204"/>
    <s v="UPC 8 89476 41218 6, UPC 8 89476 41236 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Whippany"/>
    <x v="0"/>
    <s v="United States"/>
    <x v="0"/>
    <s v="M005"/>
    <s v="TINACTIN"/>
    <s v="TOLNAFTATE"/>
    <s v="Bayer HealthCare LLC"/>
    <s v="11523-0165"/>
    <s v="HUMAN OTC DRUG"/>
    <s v="TOPICAL"/>
    <s v="TOLNAFTATE"/>
    <n v="209674"/>
    <n v="313421"/>
    <s v="289de908-7bde-ace6-e063-6294a90a2080"/>
    <s v="bb878f31-2189-4427-aacf-5bce96d75978"/>
    <s v="11523-0165-3"/>
    <b v="1"/>
    <s v="06KB629TKV"/>
    <n v="311000000000"/>
    <s v="Drugs"/>
    <n v="88677"/>
    <s v="Bayer Healthcare Pharmaceuticals Inc."/>
    <s v="100 Bayer Blvd"/>
    <s v="N/A"/>
    <s v="07981-1544"/>
    <s v="Voluntary: Firm initiated"/>
    <s v="Press Release"/>
    <s v="Distributed Nationwide in the US, Puerto Rico, Canada and Mexico through a variety of retail channels."/>
    <s v="D-0251-2022"/>
    <s v="Tinactin (Tolnaftate 1%) LIQUID SPRAY NET WT150g (5.3 OZ) can,  Labeled as (a) Product of Finland 20006101, (b) Product of Ireland 87022897, Dist by: Bayer Healthcare LLC, Whippany, NJ 07981,  UPC 3 11017 41005 9, NDC 11523-0165-3."/>
    <s v="4,990,860 cans"/>
    <s v="Chemical Contamination: presence of benzene"/>
    <n v="20211001"/>
    <n v="20211118"/>
    <n v="20230626"/>
    <n v="20211124"/>
    <s v="Lot # (a)TN006MX, EXP 10/31/2022; TN00BKV, TN008D1, TN008D2, EXP 3/31/2023;  (b) CV0180B, EXP12/31/2021; TN003C5, EXP 1/31/2023"/>
    <s v="Unknown"/>
    <s v="Unknown"/>
    <s v="Unknown"/>
    <s v="Unknown"/>
    <s v="Unknown"/>
    <s v="Unknown"/>
    <s v="Unknown"/>
    <s v="Unknown"/>
    <s v="Unknown"/>
    <s v="Unknown"/>
    <s v="Unknown"/>
    <s v="Unknown"/>
    <s v="Unknown"/>
    <s v="Unknown"/>
    <s v="Unknown"/>
    <s v="Unknown"/>
    <n v="31100000000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Mahwah"/>
    <x v="0"/>
    <s v="United States"/>
    <x v="1"/>
    <s v="ANDA212317"/>
    <s v="DILTIAZEM HYDROCHLORIDE"/>
    <s v="DILTIAZEM HYDROCHLORIDE"/>
    <s v="GLENMARK PHARMACEUTICALS INC., USA"/>
    <s v="68462-562"/>
    <s v="HUMAN PRESCRIPTION DRUG"/>
    <s v="ORAL"/>
    <s v="DILTIAZEM HYDROCHLORIDE"/>
    <n v="830865"/>
    <n v="830869"/>
    <s v="52b392c0-72cb-4a91-8d27-5cacdb8a7778"/>
    <s v="fb1606ea-1cff-46fd-b8e5-8135da76436c"/>
    <s v="68462-850-01"/>
    <b v="1"/>
    <s v="OLH94387TE"/>
    <n v="368000000000"/>
    <s v="Drugs"/>
    <n v="95660"/>
    <s v="Glenmark Pharmaceuticals Inc., USA"/>
    <s v="750 Corporate Dr"/>
    <s v="Unknown"/>
    <s v="07430-2009"/>
    <s v="Voluntary: Firm initiated"/>
    <s v="Letter"/>
    <s v="Nationwide in the USA"/>
    <s v="D-0094-2025"/>
    <s v="Diltiazem Hydrochloride Extended-Release Capsules, USP 90 mg, Rx Only, 100 Capsules, Manufactured for : Glenmark Pharmaceuticals Inc., USA Mahwah, NJ 07430, Product of India, NDC 68462-851-01."/>
    <s v="12,864 bottles"/>
    <s v="cGMP Deviations: Presence of N-nitroso-Desmethyl-Diltiazem impurity above FDA recommended interim limit."/>
    <n v="20241101"/>
    <n v="20241203"/>
    <s v="Unknown"/>
    <n v="20241211"/>
    <s v="Lot #s 17222452, Exp. Date, 11/30/2024; 17230607, Exp. Date 02/28/2025"/>
    <s v="Unknown"/>
    <s v="68462-850"/>
    <s v="68462-851"/>
    <n v="830872"/>
    <s v="68462-851-01"/>
    <s v="68462-562-01"/>
    <s v="Unknown"/>
    <s v="Unknown"/>
    <s v="Unknown"/>
    <s v="Unknown"/>
    <s v="Unknown"/>
    <s v="Unknown"/>
    <s v="Unknown"/>
    <s v="Unknown"/>
    <s v="Unknown"/>
    <s v="Unknown"/>
    <n v="368000000000"/>
    <n v="36800000000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Miami"/>
    <x v="10"/>
    <s v="United States"/>
    <x v="1"/>
    <s v="NDA021514"/>
    <s v="DAYTRANA"/>
    <s v="METHYLPHENIDATE"/>
    <s v="Noven Therapeutics, LLC"/>
    <s v="68968-5552"/>
    <s v="HUMAN PRESCRIPTION DRUG"/>
    <s v="TRANSDERMAL"/>
    <s v="METHYLPHENIDATE"/>
    <s v="Unknown"/>
    <s v="Unknown"/>
    <s v="f0b85613-40fb-4ecb-a629-b40fc28cf112"/>
    <s v="2c312c31-3198-4775-91ab-294e0b4b9e7f"/>
    <s v="68968-5552-3"/>
    <b v="1"/>
    <s v="207ZZ9QZ49"/>
    <s v="Unknown"/>
    <s v="Drugs"/>
    <n v="75450"/>
    <s v="Noven Pharmaceuticals, Inc."/>
    <s v="11960 SW 144th St"/>
    <s v="Unknown"/>
    <s v="33186-6109"/>
    <s v="Voluntary: Firm initiated"/>
    <s v="Letter"/>
    <s v="Nationwide within the US"/>
    <s v="D-0429-2017"/>
    <s v="Daytrana (methylphenidate transdermal system) Transdermal Patch, 20 mg over 9 hours (2.2 mg/hr), packaged in 30-count patches per box, Rx only, Manufactured by Noven Therapeutics, LLC, Miami, FL 33186; By Noven Pharmaceuticals, Inc., Miami, FL 33186, NDC 68968-5554-3."/>
    <s v="364,830 patches"/>
    <s v="Defective Delivery System: Out of Specification (OOS) results for the mechanical peel force (MPF) and and/or the z-statistic values."/>
    <n v="20160822"/>
    <n v="20170110"/>
    <n v="20190320"/>
    <n v="20170118"/>
    <s v="Lot #: 79230, Exp. 02/2017; 77547, Exp.07/2016"/>
    <s v="Unknown"/>
    <s v="68968-5553"/>
    <s v="68968-5554"/>
    <s v="Unknown"/>
    <s v="68968-5553-3"/>
    <s v="68968-5554-3"/>
    <s v="68968-5555-3"/>
    <s v="Unknown"/>
    <s v="Unknown"/>
    <s v="Unknown"/>
    <s v="Unknown"/>
    <s v="Unknown"/>
    <s v="Unknown"/>
    <s v="Unknown"/>
    <s v="Unknown"/>
    <s v="Unknown"/>
    <s v="Unknown"/>
    <s v="Unknown"/>
    <s v="68968-5555"/>
    <s v="Unknown"/>
    <s v="Unknown"/>
    <s v="Unknown"/>
    <s v="Unknown"/>
    <s v="Unknown"/>
    <s v="Unknown"/>
    <s v="Unknown"/>
    <s v="Unknown"/>
    <s v="Unknown"/>
    <s v="Unknown"/>
    <s v="N0000175739"/>
    <s v="N0000175729"/>
    <s v="Unknown"/>
    <s v="Central Nervous System Stimulant [EPC]"/>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Central Nervous System Stimulation [PE]"/>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Sacramento"/>
    <x v="9"/>
    <s v="United States"/>
    <x v="0"/>
    <s v="Unknown"/>
    <s v="Unknown"/>
    <s v="Unknown"/>
    <s v="Unknown"/>
    <s v="Unknown"/>
    <s v="Unknown"/>
    <s v="Unknown"/>
    <s v="Unknown"/>
    <s v="Unknown"/>
    <s v="Unknown"/>
    <s v="Unknown"/>
    <s v="Unknown"/>
    <s v="Unknown"/>
    <s v="Unknown"/>
    <s v="Unknown"/>
    <s v="Unknown"/>
    <s v="Drugs"/>
    <n v="95714"/>
    <s v="Boulla LLC"/>
    <s v="2108 N ST #7929"/>
    <s v="Unknown"/>
    <n v="95816"/>
    <s v="Voluntary: Firm initiated"/>
    <s v="E-Mail"/>
    <s v="Nationwide within the United States"/>
    <s v="D-0084-2025"/>
    <s v="PeakMax Capsules, 500 mg, packaged in 10 count blisters in cartons, Distributed by: PeakMax, San Francisco, CA, www.PeakMax.com"/>
    <s v="Unknown"/>
    <s v="Marketed without an approved NDA/ANDA: Products found to contain undeclared sildenafil and diclofenac."/>
    <n v="20241104"/>
    <n v="20241202"/>
    <s v="Unknown"/>
    <n v="20241211"/>
    <s v="Lot #: 230811, Exp: 08/11/2025"/>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Whippany"/>
    <x v="0"/>
    <s v="United States"/>
    <x v="0"/>
    <s v="M005"/>
    <s v="LOTRIMIN DAILY PREVENTION DEO"/>
    <s v="TOLNAFTATE"/>
    <s v="Bayer HealthCare LLC."/>
    <s v="11523-0010"/>
    <s v="HUMAN OTC DRUG"/>
    <s v="TOPICAL"/>
    <s v="TOLNAFTATE"/>
    <n v="705934"/>
    <s v="Unknown"/>
    <s v="289dbd00-e2f2-0998-e063-6394a90ae1a4"/>
    <s v="9e8bfb78-ad81-93d0-e053-2995a90aa41d"/>
    <s v="11523-0010-1"/>
    <b v="1"/>
    <s v="06KB629TKV"/>
    <n v="41100587206"/>
    <s v="Drugs"/>
    <n v="88677"/>
    <s v="Bayer Healthcare Pharmaceuticals Inc."/>
    <s v="100 Bayer Blvd"/>
    <s v="N/A"/>
    <s v="07981-1544"/>
    <s v="Voluntary: Firm initiated"/>
    <s v="Press Release"/>
    <s v="Distributed Nationwide in the US, Puerto Rico, Canada and Mexico through a variety of retail channels."/>
    <s v="D-0249-2022"/>
    <s v="Lotrimin AF (Tolnaftate 1%) Daily Prevention deodorant powder spray, NET WT 160g (5.6 OZ) can, Dist by: Bayer Healthcare LLC, Whippany, NJ 07981, Product of Finland,   UPC 0 41100 58720 6, NDC 11523-0010-2."/>
    <s v="579,456 cans"/>
    <s v="Chemical Contamination: presence of benzene"/>
    <n v="20211001"/>
    <n v="20211118"/>
    <n v="20230626"/>
    <n v="20211124"/>
    <s v="Lot # TN0023D, EXP 2/28/2022;  TN004BX, EXP 6/30/2022;"/>
    <s v="Unknown"/>
    <s v="Unknown"/>
    <s v="Unknown"/>
    <s v="Unknown"/>
    <s v="11523-0010-2"/>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Miami"/>
    <x v="10"/>
    <s v="United States"/>
    <x v="1"/>
    <s v="NDA021514"/>
    <s v="DAYTRANA"/>
    <s v="METHYLPHENIDATE"/>
    <s v="Noven Therapeutics, LLC"/>
    <s v="68968-5552"/>
    <s v="HUMAN PRESCRIPTION DRUG"/>
    <s v="TRANSDERMAL"/>
    <s v="METHYLPHENIDATE"/>
    <s v="Unknown"/>
    <s v="Unknown"/>
    <s v="f0b85613-40fb-4ecb-a629-b40fc28cf112"/>
    <s v="2c312c31-3198-4775-91ab-294e0b4b9e7f"/>
    <s v="68968-5552-3"/>
    <b v="1"/>
    <s v="207ZZ9QZ49"/>
    <s v="Unknown"/>
    <s v="Drugs"/>
    <n v="75450"/>
    <s v="Noven Pharmaceuticals, Inc."/>
    <s v="11960 SW 144th St"/>
    <s v="Unknown"/>
    <s v="33186-6109"/>
    <s v="Voluntary: Firm initiated"/>
    <s v="Letter"/>
    <s v="Nationwide within the US"/>
    <s v="D-0428-2017"/>
    <s v="Daytrana (methylphenidate transdermal system) Transdermal Patch, 10 mg over 9 hours (1.1mg/hr), packaged in- 30 count per box, Rx only, Manufactured by Noven Therapeutics, LLC, Miami, FL 33186; By Noven Pharmaceuticals, Inc, Miami, FL 33186,  NDC 68968-5552-3"/>
    <s v="1,068,600 patches"/>
    <s v="Defective Delivery System: Out of Specification (OOS) results for the mechanical peel force (MPF) and and/or the z-statistic values."/>
    <n v="20160822"/>
    <n v="20170110"/>
    <n v="20190320"/>
    <n v="20170118"/>
    <s v="Lot #:  77545, Exp.07/2016; 78035, Exp. 08/2016; 78367, Exp. 10/2016;  79919, Exp. 03/2017."/>
    <s v="Unknown"/>
    <s v="68968-5553"/>
    <s v="68968-5554"/>
    <s v="Unknown"/>
    <s v="68968-5553-3"/>
    <s v="68968-5554-3"/>
    <s v="68968-5555-3"/>
    <s v="Unknown"/>
    <s v="Unknown"/>
    <s v="Unknown"/>
    <s v="Unknown"/>
    <s v="Unknown"/>
    <s v="Unknown"/>
    <s v="Unknown"/>
    <s v="Unknown"/>
    <s v="Unknown"/>
    <s v="Unknown"/>
    <s v="Unknown"/>
    <s v="68968-5555"/>
    <s v="Unknown"/>
    <s v="Unknown"/>
    <s v="Unknown"/>
    <s v="Unknown"/>
    <s v="Unknown"/>
    <s v="Unknown"/>
    <s v="Unknown"/>
    <s v="Unknown"/>
    <s v="Unknown"/>
    <s v="Unknown"/>
    <s v="N0000175739"/>
    <s v="N0000175729"/>
    <s v="Unknown"/>
    <s v="Central Nervous System Stimulant [EPC]"/>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Central Nervous System Stimulation [PE]"/>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Sacramento"/>
    <x v="9"/>
    <s v="United States"/>
    <x v="0"/>
    <s v="Unknown"/>
    <s v="Unknown"/>
    <s v="Unknown"/>
    <s v="Unknown"/>
    <s v="Unknown"/>
    <s v="Unknown"/>
    <s v="Unknown"/>
    <s v="Unknown"/>
    <s v="Unknown"/>
    <s v="Unknown"/>
    <s v="Unknown"/>
    <s v="Unknown"/>
    <s v="Unknown"/>
    <s v="Unknown"/>
    <s v="Unknown"/>
    <s v="Unknown"/>
    <s v="Drugs"/>
    <n v="95714"/>
    <s v="Boulla LLC"/>
    <s v="2108 N ST #7929"/>
    <s v="Unknown"/>
    <n v="95816"/>
    <s v="Voluntary: Firm initiated"/>
    <s v="E-Mail"/>
    <s v="Nationwide within the United States"/>
    <s v="D-0085-2025"/>
    <s v="ZoomMax Capsules, 500 mg, 10 count blisters in cartons, Distributed by: ZoomMax, 2108 N St. Sacramento, CA 95816, www.zoommax.com"/>
    <s v="Unknown"/>
    <s v="Marketed without an approved NDA/ANDA: Products found to contain undeclared sildenafil and diclofenac."/>
    <n v="20241104"/>
    <n v="20241202"/>
    <s v="Unknown"/>
    <n v="20241211"/>
    <s v="Lot #: YZM240406, Exp: 04/05/2027"/>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Dublin"/>
    <x v="5"/>
    <s v="United States"/>
    <x v="1"/>
    <s v="NDA021929"/>
    <s v="BUDESONIDE AND FORMOTEROL FUMARATE DIHYDRATE"/>
    <s v="BUDESONIDE AND FORMOTEROL FUMARATE DIHYDRATE"/>
    <s v="AstraZeneca Pharmaceuticals LP"/>
    <s v="0310-7370"/>
    <s v="HUMAN PRESCRIPTION DRUG"/>
    <s v="RESPIRATORY (INHALATION)"/>
    <s v="BUDESONIDE"/>
    <n v="1246288"/>
    <n v="1246304"/>
    <s v="dd03d461-e832-4b70-a540-a70fbbfd87f9"/>
    <s v="1d266fe8-52e3-4f85-a037-c5c1afa15e60"/>
    <s v="0310-7370-20"/>
    <b v="1"/>
    <s v="W34SHF8J2K"/>
    <s v="Unknown"/>
    <s v="Drugs"/>
    <n v="87512"/>
    <s v="Cardinal Health Inc."/>
    <s v="7000 Cardinal Pl"/>
    <s v="N/A"/>
    <s v="43017-1091"/>
    <s v="Voluntary: Firm initiated"/>
    <s v="Letter"/>
    <s v="FL, GA, SC"/>
    <s v="D-0561-2021"/>
    <s v="Budesonide and Formoterol Fumarate Dihydrate Inhalation Aerosol 80/4.5 budesonide 80 mcg/formoterol fumarate dihydrate 4.5 mcg Inhalation Aerosol 120 inhalations Rx only Manufactured for: AstraZeneca Pharmaceuticals LP, Wilmington, DE 19850, NDC 0310-7372-20"/>
    <s v="905 inhalers"/>
    <s v="CGMP Deviations: Intermittent exposure to temperature excursion during storage."/>
    <n v="20210315"/>
    <n v="20210524"/>
    <n v="20240617"/>
    <n v="20210602"/>
    <s v="2000655C00"/>
    <s v="Unknown"/>
    <s v="0310-7372"/>
    <s v="Unknown"/>
    <s v="Unknown"/>
    <s v="0310-7372-20"/>
    <s v="Unknown"/>
    <s v="Unknown"/>
    <s v="Unknown"/>
    <s v="Unknown"/>
    <s v="Unknown"/>
    <s v="Unknown"/>
    <s v="Unknown"/>
    <s v="Unknown"/>
    <s v="Unknown"/>
    <s v="Unknown"/>
    <s v="Unknown"/>
    <s v="Unknown"/>
    <s v="Unknown"/>
    <s v="Unknown"/>
    <s v="Unknown"/>
    <s v="Unknown"/>
    <s v="Unknown"/>
    <s v="Unknown"/>
    <s v="Unknown"/>
    <s v="Unknown"/>
    <s v="Unknown"/>
    <s v="Unknown"/>
    <s v="Unknown"/>
    <s v="Unknown"/>
    <s v="N0000175576"/>
    <s v="N0000175450"/>
    <s v="Unknown"/>
    <s v="Corticosteroid [EPC]"/>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FORMOTEROL FUMARATE"/>
    <s v="Unknown"/>
    <s v="Unknown"/>
    <s v="Unknown"/>
    <s v="Unknown"/>
    <s v="Unknown"/>
    <s v="Q3OKS62Q6X"/>
    <s v="Unknown"/>
    <s v="Unknown"/>
    <s v="Unknown"/>
    <s v="Unknown"/>
    <s v="Unknown"/>
    <s v="Unknown"/>
    <s v="Unknown"/>
    <s v="Unknown"/>
    <s v="Unknown"/>
    <s v="Unknown"/>
    <s v="Unknown"/>
    <s v="Unknown"/>
    <s v="Unknown"/>
    <s v="Unknown"/>
    <s v="Unknown"/>
    <s v="Unknown"/>
    <s v="Unknown"/>
    <s v="Unknown"/>
    <s v="Unknown"/>
    <s v="Unknown"/>
    <s v="Unknown"/>
    <s v="Unknown"/>
    <s v="Unknown"/>
    <s v="Unknown"/>
    <s v="Corticosteroid Hormone Receptor Agonists [MoA]"/>
    <s v="Unknown"/>
    <s v="Unknown"/>
    <s v="Unknown"/>
    <s v="Unknown"/>
    <s v="Unknown"/>
    <s v="Unknown"/>
    <s v="Unknown"/>
    <s v="Unknown"/>
    <s v="Unknown"/>
    <s v="Unknown"/>
    <s v="Unknown"/>
    <s v="Unknown"/>
    <s v="Unknown"/>
  </r>
  <r>
    <x v="1"/>
    <s v="East Windsor"/>
    <x v="0"/>
    <s v="United States"/>
    <x v="1"/>
    <s v="ANDA206125"/>
    <s v="CINACALCET"/>
    <s v="CINACALCET"/>
    <s v="Aurobindo Pharma Limited"/>
    <s v="65862-831"/>
    <s v="HUMAN PRESCRIPTION DRUG"/>
    <s v="ORAL"/>
    <s v="CINACALCET HYDROCHLORIDE"/>
    <n v="432400"/>
    <n v="432401"/>
    <s v="5aadf0b6-2c49-48d4-8d22-2fbf99dbf4e6"/>
    <s v="42e99112-c402-4662-877f-9e3a84dff9f2"/>
    <s v="65862-831-30"/>
    <b v="1"/>
    <s v="1K860WSG25"/>
    <s v="Unknown"/>
    <s v="Drugs"/>
    <n v="95730"/>
    <s v="Aurobindo Pharma USA Inc"/>
    <s v="279 Princeton Hightstown Rd"/>
    <s v="Unknown"/>
    <s v="08520-1401"/>
    <s v="Voluntary: Firm initiated"/>
    <s v="Letter"/>
    <s v="USA Nationwide"/>
    <s v="D-0079-2025"/>
    <s v="Cinacalcet Tablets, 90 mg, packaged in: a) 30-count HDPE bottle (NDC 65862-833-30), b) 500-count HDPE bottle (NDC 65862-833-05), Rx Only, Distributed by: Aurobindo Pharma USA, Inc. 279 Princeton-Hightstown Road, East Windsor, NJ 08520, Made in India.  90 mg - 30 Tablets - NDC 65862-833-30 90 mg - 500 Tablets - NDC 65862-833-05"/>
    <s v="Unknown"/>
    <s v="cGMP Deviations: Presence of N-nitroso Cinacalcet impurity above FDA recommended interim limit"/>
    <n v="20241107"/>
    <n v="20241129"/>
    <s v="Unknown"/>
    <n v="20241211"/>
    <s v="Lot #: a) CFSC23001A, CFSC23001B, Exp 03/31/2025; b) P2300195, Exp 12/31/2024"/>
    <s v="Unknown"/>
    <s v="65862-832"/>
    <s v="65862-833"/>
    <n v="432402"/>
    <s v="65862-831-90"/>
    <s v="65862-831-01"/>
    <s v="65862-831-05"/>
    <s v="65862-832-30"/>
    <s v="65862-832-90"/>
    <s v="65862-832-01"/>
    <s v="65862-832-05"/>
    <s v="65862-833-30"/>
    <s v="65862-833-90"/>
    <s v="65862-833-01"/>
    <s v="65862-833-05"/>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Warren"/>
    <x v="0"/>
    <s v="United States"/>
    <x v="1"/>
    <s v="NDA020402"/>
    <s v="ADVIL"/>
    <s v="IBUPROFEN"/>
    <s v="Haleon US Holdings LLC"/>
    <s v="0573-1769"/>
    <s v="HUMAN OTC DRUG"/>
    <s v="ORAL"/>
    <s v="IBUPROFEN"/>
    <n v="310964"/>
    <n v="731533"/>
    <s v="e73468b1-b150-4460-af62-5af281dc562b"/>
    <s v="1f01c10a-9434-91a4-2ee4-352315a6b610"/>
    <s v="0573-0169-17"/>
    <b v="1"/>
    <s v="WK2XYI10QM"/>
    <s v="Unknown"/>
    <s v="Drugs"/>
    <n v="85224"/>
    <s v="Glaxosmithkline Consumer Healthcare Holdings"/>
    <s v="184 Liberty Corner Rd"/>
    <s v="N/A"/>
    <s v="07059-6796"/>
    <s v="Voluntary: Firm initiated"/>
    <s v="Letter"/>
    <s v="Product was distributed throughout the United States, including Puerto Rico."/>
    <s v="D-1066-2020"/>
    <s v="Ibuprofen 200 mg liquid filled capsules  Advil Liqui-Gel Minis, 160 count bottle  NDC 0573-1769-89  NDC 0573-1769-95"/>
    <s v="446,628 bottles"/>
    <s v="Labeling: Lacks Warning or Rx Legend- Certain lots does not include required safety warning information in the Drug Facts Panel."/>
    <n v="20200316"/>
    <n v="20200326"/>
    <n v="20211028"/>
    <n v="20200401"/>
    <s v="Batch/Lot Numbers:  R53074, exp. date 10/31/2020, item # F00573176989, 160 ct.   R53075, exp. date 10/31/2020, item # F00573176989, 160 ct.   R53076, exp. date 11/30/2020, item # F00573176989, 160 ct.  R53077, exp. date 11/30/2020, item # F00573176989, 160 ct.  R53081, exp. date 11/30/2020, item # F00573176989, 160 ct.  R53901, exp. date 02/28/2021, item # F00573176989, 160 ct.  R53902, exp. date 03/31/2021, item # F00573176989, 160 ct.  R62780, exp. date 06/30/2021, item # F00573176989, 160 ct."/>
    <s v="Unknown"/>
    <s v="0573-0169"/>
    <s v="0573-0149"/>
    <s v="Unknown"/>
    <s v="0573-0169-02"/>
    <s v="0573-0169-19"/>
    <s v="0573-0169-20"/>
    <s v="0573-0169-40"/>
    <s v="0573-0169-11"/>
    <s v="0573-0169-89"/>
    <s v="0573-0169-30"/>
    <s v="0573-0169-31"/>
    <s v="0573-0169-86"/>
    <s v="0573-0169-51"/>
    <s v="0573-0169-43"/>
    <s v="Unknown"/>
    <s v="Unknown"/>
    <s v="Unknown"/>
    <s v="Unknown"/>
    <s v="Unknown"/>
    <s v="0573-0169-49"/>
    <s v="0573-0169-52"/>
    <s v="0573-0169-08"/>
    <s v="0573-0169-22"/>
    <s v="0573-0169-13"/>
    <s v="0573-0169-76"/>
    <s v="0573-0149-13"/>
    <s v="0573-0149-04"/>
    <s v="Unknown"/>
    <s v="N0000000160"/>
    <s v="M0001335"/>
    <s v="Anti-Inflammatory Agents, Non-Steroidal [CS]"/>
    <s v="Nonsteroidal Anti-inflammatory Drug [EPC]"/>
    <s v="Unknown"/>
    <s v="Unknown"/>
    <s v="Unknown"/>
    <s v="Unknown"/>
    <s v="Unknown"/>
    <s v="Unknown"/>
    <s v="Unknown"/>
    <s v="Unknown"/>
    <s v="Unknown"/>
    <s v="Unknown"/>
    <s v="Unknown"/>
    <s v="Unknown"/>
    <s v="Unknown"/>
    <s v="Unknown"/>
    <s v="Unknown"/>
    <s v="0573-0149-66"/>
    <s v="0573-0149-91"/>
    <s v="0573-1769-20"/>
    <s v="0573-1769-80"/>
    <s v="Unknown"/>
    <s v="Unknown"/>
    <s v="Unknown"/>
    <s v="Unknown"/>
    <s v="Unknown"/>
    <s v="Unknown"/>
    <s v="Unknown"/>
    <s v="Unknown"/>
    <s v="Unknown"/>
    <s v="Unknown"/>
    <s v="Unknown"/>
    <s v="N0000175722"/>
    <s v="Unknown"/>
    <s v="Unknown"/>
    <s v="Unknown"/>
    <s v="Unknown"/>
    <s v="Unknown"/>
    <s v="Unknown"/>
    <s v="Unknown"/>
    <s v="Unknown"/>
    <s v="0573-1769-89"/>
    <s v="0573-1769-14"/>
    <s v="0573-1769-13"/>
    <s v="0573-1769-09"/>
    <s v="0573-1769-02"/>
    <s v="0573-1769-95"/>
    <n v="57317698"/>
    <s v="Unknown"/>
    <s v="Unknown"/>
    <s v="Unknown"/>
    <s v="Unknown"/>
    <s v="Unknown"/>
    <s v="Unknown"/>
    <s v="Unknown"/>
    <s v="Unknown"/>
    <s v="Unknown"/>
    <s v="Unknown"/>
    <s v="Unknown"/>
    <s v="Unknown"/>
    <s v="Unknown"/>
    <s v="Cyclooxygenase Inhibitors [MoA]"/>
    <s v="Unknown"/>
    <s v="Unknown"/>
    <s v="Unknown"/>
    <s v="Unknown"/>
    <s v="Unknown"/>
    <s v="Unknown"/>
    <s v="Unknown"/>
    <s v="Unknown"/>
    <s v="Unknown"/>
    <s v="Unknown"/>
    <s v="Unknown"/>
    <s v="Unknown"/>
    <s v="Unknown"/>
  </r>
  <r>
    <x v="0"/>
    <s v="Waltham"/>
    <x v="11"/>
    <s v="United States"/>
    <x v="2"/>
    <s v="NDA020171"/>
    <s v="DELFLEX"/>
    <s v="DEXTROSE MONOHYDRATE, SODIUM CHLORIDE, SODIUM LACTATE, CALCIUM CHLORIDE, MAGNESIUM CHLORIDE"/>
    <s v="Fresenius Medical Care North America"/>
    <s v="49230-206"/>
    <s v="HUMAN PRESCRIPTION DRUG"/>
    <s v="INTRAPERITONEAL"/>
    <s v="CALCIUM CHLORIDE"/>
    <s v="Unknown"/>
    <s v="Unknown"/>
    <s v="26d12d04-31c5-1506-e063-6394a90ae5a1"/>
    <s v="c29bdfa0-4976-11e2-939b-0002a5d5c51b"/>
    <s v="49230-206-92"/>
    <b v="1"/>
    <s v="M4I0D6VV5M"/>
    <s v="Unknown"/>
    <s v="Drugs"/>
    <n v="87907"/>
    <s v="Fresenius Medical Care Holdings, Inc."/>
    <s v="920 Winter St Bld 950"/>
    <s v="N/A"/>
    <s v="02451-1521"/>
    <s v="Voluntary: Firm initiated"/>
    <s v="Letter"/>
    <s v="Nationwide within the United States"/>
    <s v="D-0608-2021"/>
    <s v="DELFLEX Peritoneal Dialysis Solution with 2.5% Dextrose, Low magnesium, Low Calcium and attached stay safe Exchange set, packaged in a) 2500 mL  (NDC 49230-209-94) and b) 2000mL, packs of 5 (NDC 49230-209-92) Fresenius Medical Care NA, Waltham, MA 02451,"/>
    <s v="39 cases"/>
    <s v="Temperature Abuse: Product exposed to temperature outside specified limits."/>
    <n v="20210428"/>
    <n v="20210609"/>
    <n v="20210917"/>
    <n v="20210616"/>
    <s v="Lot #: a) 20PU02010, Exp. date June 2022 and b) 20SU04033, Exp. date July 2022"/>
    <s v="Unknown"/>
    <s v="49230-209"/>
    <s v="49230-212"/>
    <s v="Unknown"/>
    <s v="49230-206-94"/>
    <s v="49230-206-95"/>
    <s v="49230-209-92"/>
    <s v="49230-209-94"/>
    <s v="49230-209-95"/>
    <s v="49230-212-92"/>
    <s v="49230-212-94"/>
    <s v="49230-212-95"/>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DEXTROSE MONOHYDRATE"/>
    <s v="MAGNESIUM CHLORIDE"/>
    <s v="Unknown"/>
    <s v="Unknown"/>
    <s v="Unknown"/>
    <s v="Unknown"/>
    <s v="LX22YL083G"/>
    <s v="02F3473H9O"/>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SODIUM CHLORIDE"/>
    <s v="451W47IQ8X"/>
    <s v="SODIUM LACTATE"/>
    <s v="TU7HW0W0QT"/>
    <s v="Unknown"/>
    <s v="Unknown"/>
    <s v="Unknown"/>
  </r>
  <r>
    <x v="1"/>
    <s v="East Brunswick"/>
    <x v="0"/>
    <s v="United States"/>
    <x v="1"/>
    <s v="ANDA090778"/>
    <s v="DULOXETINE"/>
    <s v="DULOXETINE HYDROCHLORIDE"/>
    <s v="Rising Pharma Holdings, Inc."/>
    <s v="57237-017"/>
    <s v="HUMAN PRESCRIPTION DRUG"/>
    <s v="ORAL"/>
    <s v="DULOXETINE HYDROCHLORIDE"/>
    <n v="596926"/>
    <n v="596930"/>
    <s v="4166006e-ead3-4e01-8b11-07d26ac957ed"/>
    <s v="ea2dc1a6-22d5-4295-9d39-9bf015dc5a89"/>
    <s v="57237-017-60"/>
    <b v="1"/>
    <s v="9044SC542W"/>
    <n v="357000000000"/>
    <s v="Drugs"/>
    <n v="95756"/>
    <s v="Rising Pharma Holding, Inc."/>
    <s v="2 Tower Center Blvd Ste 1401"/>
    <s v="Unknown"/>
    <s v="08816-1149"/>
    <s v="Voluntary: Firm initiated"/>
    <s v="Letter"/>
    <s v="Nationwide."/>
    <s v="D-0106-2025"/>
    <s v="Duloxetine Delayed-Release Capsules USP, 30 mg, a) 30 count (NDC 57237-018-30), b) 90 count (NDC 57237-018-90) and c) 1000 count (NDC 57237-018-99) bottles, Rx only, Distributed by: Rising Pharma Holdings, Inc., East Brunswick, NJ"/>
    <s v="122,925 bottles"/>
    <s v="CGMP Deviations: Presence of N-nitroso-duloxetine impurity above recommended interim limit"/>
    <n v="20241119"/>
    <n v="20241205"/>
    <s v="Unknown"/>
    <n v="20241211"/>
    <s v="a) 30s; DT3023019A, exp. date Jan-25 DT3023050A, exp. date Apr-25;  b) 90s; DT3023022A, exp. date Jan-25;  c) 1000s; DT3022108A, DT3022107A, DT3022106A, DT3022111A, DT3022109A, exp. date Nov-24, DT3023001A, DT3023003A, exp. date Dec-24, DT3023024A, DT3023020B, exp. date Jan-25 DT3023027A, DT3023028A, exp. date Feb-25, DT3023034A, exp. date Mar-25, DT3023049A, exp. date Apr-25, DT3023095A, exp. date Jul-25"/>
    <s v="Unknown"/>
    <s v="57237-018"/>
    <s v="57237-019"/>
    <n v="596934"/>
    <s v="57237-017-99"/>
    <s v="57237-018-30"/>
    <s v="57237-018-90"/>
    <s v="57237-018-99"/>
    <s v="57237-019-30"/>
    <s v="57237-019-90"/>
    <s v="57237-019-99"/>
    <s v="Unknown"/>
    <s v="Unknown"/>
    <s v="Unknown"/>
    <s v="Unknown"/>
    <s v="Unknown"/>
    <n v="357000000000"/>
    <n v="35700000000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East Windsor"/>
    <x v="0"/>
    <s v="United States"/>
    <x v="1"/>
    <s v="ANDA206512"/>
    <s v="AMLODIPINE AND VALSARTAN"/>
    <s v="AMLODIPINE AND VALSARTAN"/>
    <s v="Aurobindo Pharma Limited"/>
    <s v="65862-737"/>
    <s v="HUMAN PRESCRIPTION DRUG"/>
    <s v="ORAL"/>
    <s v="AMLODIPINE BESYLATE"/>
    <n v="722126"/>
    <n v="722131"/>
    <s v="909d72a6-7116-407e-8ec8-77b9b5798237"/>
    <s v="7fa25f10-29e0-4162-81a8-9d2e03054ded"/>
    <s v="65862-737-30"/>
    <b v="1"/>
    <s v="80M03YXJ7I"/>
    <n v="366000000000"/>
    <s v="Drugs"/>
    <n v="81887"/>
    <s v="Aurobindo Pharma USA Inc."/>
    <s v="279 Princeton Hightstown Rd"/>
    <s v="Unknown"/>
    <s v="08520-1401"/>
    <s v="Voluntary: Firm initiated"/>
    <s v="Press Release"/>
    <s v="Product was distributed to 25 distributors and Retail Chains who may have further distributed the product throughout the United States."/>
    <s v="D-0363-2019"/>
    <s v="Amlodipine and Valsartan Tablets USP 5 mg/320 mg, 30-count bottles, Rx Only, Manufactured for: Aurobindo Pharma USA, Inc., Dayton, NJ 08810. NDC 65862-738-30."/>
    <s v="27,688 bottles"/>
    <s v="CGMP Deviations: FDA lab confirmed presence an impurity, N-nitrosodimethylamine (NDEA) contained in the API used to manufacture the product above the interim acceptable daily intake level of 0.083 parts per million."/>
    <n v="20181231"/>
    <n v="20190114"/>
    <s v="Unknown"/>
    <n v="20190123"/>
    <s v="Lot # VMSA17012-A, exp. date 11/2019  Lot # VMSA17013-A, exp. date 11/2019  Lot # VMSA17014-A, exp. date 11/2019  Lot # VMSA17015-A, exp. date 11/2019  Lot # VMSA17016-A, exp. date 11/2019  Lot # VMSA17017-A, exp. date 11/2019"/>
    <s v="Unknown"/>
    <s v="65862-739"/>
    <s v="65862-738"/>
    <n v="722134"/>
    <s v="65862-737-90"/>
    <s v="65862-737-10"/>
    <s v="65862-737-03"/>
    <s v="65862-739-30"/>
    <s v="65862-739-90"/>
    <s v="65862-739-10"/>
    <s v="65862-739-03"/>
    <s v="65862-738-30"/>
    <s v="65862-738-90"/>
    <s v="65862-738-10"/>
    <s v="65862-738-03"/>
    <s v="Unknown"/>
    <n v="366000000000"/>
    <s v="Unknown"/>
    <s v="65862-740"/>
    <s v="Unknown"/>
    <s v="65862-740-30"/>
    <s v="65862-740-90"/>
    <s v="65862-740-10"/>
    <s v="65862-740-03"/>
    <s v="Unknown"/>
    <s v="Unknown"/>
    <s v="Unknown"/>
    <s v="Unknown"/>
    <n v="722137"/>
    <s v="N0000000070"/>
    <s v="N0000175561"/>
    <s v="Unknown"/>
    <s v="Angiotensin 2 Receptor Blocker [EPC]"/>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VALSARTAN"/>
    <s v="Unknown"/>
    <s v="Unknown"/>
    <s v="Unknown"/>
    <s v="Unknown"/>
    <s v="Unknown"/>
    <s v="864V2Q084H"/>
    <s v="Unknown"/>
    <s v="Unknown"/>
    <s v="Unknown"/>
    <s v="Unknown"/>
    <s v="Unknown"/>
    <s v="Unknown"/>
    <s v="Unknown"/>
    <s v="Unknown"/>
    <s v="Unknown"/>
    <s v="Unknown"/>
    <s v="Unknown"/>
    <s v="Unknown"/>
    <s v="Unknown"/>
    <s v="Unknown"/>
    <s v="Unknown"/>
    <s v="Unknown"/>
    <s v="Unknown"/>
    <s v="Unknown"/>
    <s v="Unknown"/>
    <s v="Unknown"/>
    <s v="Unknown"/>
    <s v="Unknown"/>
    <s v="Unknown"/>
    <s v="Unknown"/>
    <s v="Angiotensin 2 Receptor Antagonists [MoA]"/>
    <s v="Unknown"/>
    <s v="Unknown"/>
    <s v="Unknown"/>
    <s v="Unknown"/>
    <s v="Unknown"/>
    <s v="Unknown"/>
    <s v="Unknown"/>
    <s v="Unknown"/>
    <s v="Unknown"/>
    <s v="Unknown"/>
    <s v="Unknown"/>
    <s v="Unknown"/>
    <s v="Unknown"/>
  </r>
  <r>
    <x v="0"/>
    <s v="Richmond"/>
    <x v="12"/>
    <s v="United States"/>
    <x v="1"/>
    <s v="M018"/>
    <s v="GENTEAL"/>
    <s v="MINERAL OIL, WHITE PETROLATUM"/>
    <s v="Alcon Laboratories, Inc."/>
    <s v="0065-0518"/>
    <s v="HUMAN OTC DRUG"/>
    <s v="OPHTHALMIC"/>
    <s v="MINERAL OIL"/>
    <n v="706820"/>
    <s v="Unknown"/>
    <s v="d09a2d41-4976-47b8-827c-5082741f83b4"/>
    <s v="9d5998a7-4f59-4293-87da-8419650a524d"/>
    <s v="0065-0518-01"/>
    <b v="1"/>
    <s v="T5L8T28FGP"/>
    <n v="301000000000"/>
    <s v="Drugs"/>
    <n v="90553"/>
    <s v="Mckesson Medical-Surgical Inc. Corporate Office"/>
    <s v="9954 Maryland Drive"/>
    <s v="Deep Run Iii Ste. 4000"/>
    <n v="23233"/>
    <s v="Voluntary: Firm initiated"/>
    <s v="Letter"/>
    <s v="Nationwide in the USA."/>
    <s v="D-1320-2022"/>
    <s v="GenTeal Tears, Lubricant Eye Ointment, Night-Time Ointment, Sterile, 3.5 gm (0.12 FL OZ) per box, Alcon, NDC 0065-0518-01."/>
    <s v="40 boxes"/>
    <s v="CGMP Deviations: products were stored outside the drug label specifications."/>
    <n v="20220629"/>
    <n v="20220805"/>
    <n v="20240213"/>
    <n v="20220817"/>
    <s v="Part# 30065051801"/>
    <s v="Unknown"/>
    <s v="Unknown"/>
    <s v="Unknown"/>
    <s v="Unknown"/>
    <n v="3006505180"/>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PETROLATUM"/>
    <s v="Unknown"/>
    <s v="Unknown"/>
    <s v="Unknown"/>
    <s v="Unknown"/>
    <s v="Unknown"/>
    <s v="4T6H12BN9U"/>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Princeton"/>
    <x v="0"/>
    <s v="United States"/>
    <x v="1"/>
    <s v="ANDA201049"/>
    <s v="PIOGLITAZONE HYDROCHLORIDE AND GLIMEPIRIDE"/>
    <s v="PIOGLITAZONE HYDROCHLORIDE AND GLIMEPIRIDE"/>
    <s v="Sandoz Inc"/>
    <s v="0781-5634"/>
    <s v="HUMAN PRESCRIPTION DRUG"/>
    <s v="ORAL"/>
    <s v="GLIMEPIRIDE"/>
    <n v="647237"/>
    <n v="647239"/>
    <s v="724cb72e-023e-409c-8979-3a380a2fdc0a"/>
    <s v="2aab19ce-1e5e-44ee-85e5-d8f125f9bb1a"/>
    <s v="0781-5634-31"/>
    <b v="1"/>
    <s v="JQT35NPK6C"/>
    <n v="308000000000"/>
    <s v="Drugs"/>
    <n v="76515"/>
    <s v="Sandoz Inc"/>
    <s v="100 College Rd W"/>
    <s v="N/A"/>
    <s v="08540-6604"/>
    <s v="Voluntary: Firm initiated"/>
    <s v="Letter"/>
    <s v="Nationwide"/>
    <s v="D-0515-2017"/>
    <s v="Pioglitazone and Glimepiride Tablets, USP, 30 mg/4 mg, 30 count bottles, Rx only, Manufactured by Lek Pharmaceuticals d.d., Verovskova Ulica 57, Ljubljana, - SI-1526, Slovenia ---  NDC 0781-5635-31"/>
    <s v="N/A"/>
    <s v="Failed Dissolution Specifications"/>
    <n v="20170210"/>
    <n v="20170309"/>
    <n v="20171024"/>
    <n v="20170315"/>
    <s v="Lot FY3669 with expiry 11/2017"/>
    <s v="Unknown"/>
    <s v="0781-5635"/>
    <s v="Unknown"/>
    <s v="Unknown"/>
    <s v="0781-5634-10"/>
    <s v="0781-5635-31"/>
    <s v="0781-5635-10"/>
    <s v="Unknown"/>
    <s v="Unknown"/>
    <s v="Unknown"/>
    <s v="Unknown"/>
    <s v="Unknown"/>
    <s v="Unknown"/>
    <s v="Unknown"/>
    <s v="Unknown"/>
    <s v="Unknown"/>
    <n v="308000000000"/>
    <s v="Unknown"/>
    <s v="Unknown"/>
    <s v="Unknown"/>
    <s v="Unknown"/>
    <s v="Unknown"/>
    <s v="Unknown"/>
    <s v="Unknown"/>
    <s v="Unknown"/>
    <s v="Unknown"/>
    <s v="Unknown"/>
    <s v="Unknown"/>
    <s v="Unknown"/>
    <s v="N0000175608"/>
    <s v="M0020795"/>
    <s v="Sulfonylurea Compounds [CS]"/>
    <s v="Sulfonylurea [EPC]"/>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PIOGLITAZONE HYDROCHLORIDE"/>
    <s v="Unknown"/>
    <s v="Unknown"/>
    <s v="Unknown"/>
    <s v="Unknown"/>
    <s v="Unknown"/>
    <s v="6KY687524K"/>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1"/>
    <s v="New Delhi"/>
    <x v="6"/>
    <s v="India"/>
    <x v="1"/>
    <s v="Unknown"/>
    <s v="Unknown"/>
    <s v="Unknown"/>
    <s v="Unknown"/>
    <s v="Unknown"/>
    <s v="Unknown"/>
    <s v="Unknown"/>
    <s v="Unknown"/>
    <s v="Unknown"/>
    <s v="Unknown"/>
    <s v="Unknown"/>
    <s v="Unknown"/>
    <s v="Unknown"/>
    <s v="Unknown"/>
    <s v="Unknown"/>
    <s v="Unknown"/>
    <s v="Drugs"/>
    <n v="95595"/>
    <s v="Unexo Life Sciences Private Limited"/>
    <s v="B16, Sector 4, Bawana Industrial Area"/>
    <s v="Unknown"/>
    <s v="N/A"/>
    <s v="Voluntary: Firm initiated"/>
    <s v="Letter"/>
    <s v="Nationwide in the US"/>
    <s v="D-0063-2025"/>
    <s v="ABSORBINE jr ULTRA STRENGTH PAIN PATCH, Menthol 6.5%, 1 patch per box, Distributed By: Absorbine Jr. LLC, Chattanooga, TN 37402 UPC 8 89476 41318 3, UPC 8 89476 41336 7"/>
    <s v="4,968,000 patches"/>
    <s v="cGMP Deficiencies"/>
    <n v="20241024"/>
    <n v="20241122"/>
    <s v="Unknown"/>
    <n v="20241204"/>
    <s v="UPC 8 89476 41318 3, UPC 8 89476 41336 7"/>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0"/>
    <s v="Vadodara"/>
    <x v="6"/>
    <s v="India"/>
    <x v="1"/>
    <s v="ANDA090579"/>
    <s v="AMPICILLIN AND SULBACTAM"/>
    <s v="AMPICILLIN SODIUM AND SULBACTAM SODIUM"/>
    <s v="Xellia Pharmaceuticals USA LLC"/>
    <s v="70594-081"/>
    <s v="HUMAN PRESCRIPTION DRUG"/>
    <s v="INTRAMUSCULAR"/>
    <s v="AMPICILLIN SODIUM"/>
    <s v="Unknown"/>
    <s v="Unknown"/>
    <s v="ec431dfa-fe17-4e43-acf9-60eee408cc6b"/>
    <s v="7161f386-6373-4db5-8dfd-d7ddf38ec2f1"/>
    <s v="70594-081-01"/>
    <b v="1"/>
    <s v="JFN36L5S8K"/>
    <s v="Unknown"/>
    <s v="Drugs"/>
    <n v="92341"/>
    <s v="Astral SteriTech Private Ltd."/>
    <s v="911 G I D C Makarpura"/>
    <s v="N/A"/>
    <s v="N/A"/>
    <s v="Voluntary: Firm initiated"/>
    <s v="Letter"/>
    <s v="Nationwide within the United States"/>
    <s v="D-0602-2023"/>
    <s v="Ampicillin and Sulbactam for Injection, USP 3 grams per vial, Rx only, Manufactured for: Xellia Pharmaceuticals USA, LLC, Buffalo Grove, IL 60089, NDC 70594-082-02"/>
    <s v="591,160 vials"/>
    <s v="Lack of Assurance of Sterility"/>
    <n v="20230515"/>
    <n v="20230518"/>
    <n v="20240405"/>
    <n v="20230524"/>
    <s v="All lots within expiry."/>
    <s v="Unknown"/>
    <s v="70594-082"/>
    <s v="Unknown"/>
    <s v="Unknown"/>
    <s v="70594-081-02"/>
    <s v="70594-082-01"/>
    <s v="70594-082-02"/>
    <s v="Unknown"/>
    <s v="Unknown"/>
    <s v="Unknown"/>
    <s v="Unknown"/>
    <s v="Unknown"/>
    <s v="Unknown"/>
    <s v="Unknown"/>
    <s v="Unknown"/>
    <s v="INTRAVENOUS"/>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SULBACTAM SODIUM"/>
    <s v="Unknown"/>
    <s v="Unknown"/>
    <s v="Unknown"/>
    <s v="Unknown"/>
    <s v="Unknown"/>
    <s v="DKQ4T82YE6"/>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s v="Unknown"/>
  </r>
  <r>
    <x v="2"/>
    <m/>
    <x v="13"/>
    <m/>
    <x v="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93B5D8-844D-4B8D-9608-D64C36939CF8}" name="PivotTable1" cacheId="29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D8" firstHeaderRow="1" firstDataRow="2" firstDataCol="1"/>
  <pivotFields count="145">
    <pivotField axis="axisCol" showAll="0">
      <items count="4">
        <item x="1"/>
        <item x="0"/>
        <item x="2"/>
        <item t="default"/>
      </items>
    </pivotField>
    <pivotField showAll="0"/>
    <pivotField showAll="0">
      <items count="15">
        <item x="9"/>
        <item x="10"/>
        <item x="2"/>
        <item x="7"/>
        <item x="11"/>
        <item x="8"/>
        <item x="6"/>
        <item x="3"/>
        <item x="0"/>
        <item x="4"/>
        <item x="5"/>
        <item x="1"/>
        <item x="12"/>
        <item h="1" x="13"/>
        <item t="default"/>
      </items>
    </pivotField>
    <pivotField showAll="0"/>
    <pivotField axis="axisRow" showAll="0">
      <items count="5">
        <item x="0"/>
        <item x="1"/>
        <item x="2"/>
        <item x="3"/>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4">
    <i>
      <x/>
    </i>
    <i>
      <x v="1"/>
    </i>
    <i>
      <x v="2"/>
    </i>
    <i t="grand">
      <x/>
    </i>
  </rowItems>
  <colFields count="1">
    <field x="0"/>
  </colFields>
  <colItems count="3">
    <i>
      <x/>
    </i>
    <i>
      <x v="1"/>
    </i>
    <i t="grand">
      <x/>
    </i>
  </colItems>
  <dataFields count="1">
    <dataField name="Count of openfda/application_number/0" fld="5" subtotal="count" baseField="0" baseItem="0"/>
  </dataFields>
  <chartFormats count="2">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226EB77-CC3A-4A32-A509-9029FBC3A4D4}" name="PivotTable3" cacheId="29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5:P21" firstHeaderRow="1" firstDataRow="2" firstDataCol="1"/>
  <pivotFields count="145">
    <pivotField showAll="0">
      <items count="4">
        <item x="1"/>
        <item x="0"/>
        <item x="2"/>
        <item t="default"/>
      </items>
    </pivotField>
    <pivotField showAll="0"/>
    <pivotField axis="axisCol" showAll="0">
      <items count="15">
        <item x="9"/>
        <item x="10"/>
        <item x="2"/>
        <item x="7"/>
        <item x="11"/>
        <item x="8"/>
        <item x="6"/>
        <item x="3"/>
        <item x="0"/>
        <item x="4"/>
        <item x="5"/>
        <item x="1"/>
        <item x="12"/>
        <item x="13"/>
        <item t="default"/>
      </items>
    </pivotField>
    <pivotField showAll="0"/>
    <pivotField axis="axisRow"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5">
    <i>
      <x/>
    </i>
    <i>
      <x v="1"/>
    </i>
    <i>
      <x v="2"/>
    </i>
    <i>
      <x v="3"/>
    </i>
    <i t="grand">
      <x/>
    </i>
  </rowItems>
  <colFields count="1">
    <field x="2"/>
  </colFields>
  <colItems count="15">
    <i>
      <x/>
    </i>
    <i>
      <x v="1"/>
    </i>
    <i>
      <x v="2"/>
    </i>
    <i>
      <x v="3"/>
    </i>
    <i>
      <x v="4"/>
    </i>
    <i>
      <x v="5"/>
    </i>
    <i>
      <x v="6"/>
    </i>
    <i>
      <x v="7"/>
    </i>
    <i>
      <x v="8"/>
    </i>
    <i>
      <x v="9"/>
    </i>
    <i>
      <x v="10"/>
    </i>
    <i>
      <x v="11"/>
    </i>
    <i>
      <x v="12"/>
    </i>
    <i>
      <x v="13"/>
    </i>
    <i t="grand">
      <x/>
    </i>
  </colItems>
  <dataFields count="1">
    <dataField name="Count of product_quantity" fld="32" subtotal="count" baseField="4" baseItem="0"/>
  </dataFields>
  <chartFormats count="14">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4"/>
          </reference>
        </references>
      </pivotArea>
    </chartFormat>
    <chartFormat chart="0" format="5" series="1">
      <pivotArea type="data" outline="0" fieldPosition="0">
        <references count="2">
          <reference field="4294967294" count="1" selected="0">
            <x v="0"/>
          </reference>
          <reference field="2" count="1" selected="0">
            <x v="5"/>
          </reference>
        </references>
      </pivotArea>
    </chartFormat>
    <chartFormat chart="0" format="6" series="1">
      <pivotArea type="data" outline="0" fieldPosition="0">
        <references count="2">
          <reference field="4294967294" count="1" selected="0">
            <x v="0"/>
          </reference>
          <reference field="2" count="1" selected="0">
            <x v="6"/>
          </reference>
        </references>
      </pivotArea>
    </chartFormat>
    <chartFormat chart="0" format="7" series="1">
      <pivotArea type="data" outline="0" fieldPosition="0">
        <references count="2">
          <reference field="4294967294" count="1" selected="0">
            <x v="0"/>
          </reference>
          <reference field="2" count="1" selected="0">
            <x v="7"/>
          </reference>
        </references>
      </pivotArea>
    </chartFormat>
    <chartFormat chart="0" format="8" series="1">
      <pivotArea type="data" outline="0" fieldPosition="0">
        <references count="2">
          <reference field="4294967294" count="1" selected="0">
            <x v="0"/>
          </reference>
          <reference field="2" count="1" selected="0">
            <x v="8"/>
          </reference>
        </references>
      </pivotArea>
    </chartFormat>
    <chartFormat chart="0" format="9" series="1">
      <pivotArea type="data" outline="0" fieldPosition="0">
        <references count="2">
          <reference field="4294967294" count="1" selected="0">
            <x v="0"/>
          </reference>
          <reference field="2" count="1" selected="0">
            <x v="9"/>
          </reference>
        </references>
      </pivotArea>
    </chartFormat>
    <chartFormat chart="0" format="10" series="1">
      <pivotArea type="data" outline="0" fieldPosition="0">
        <references count="2">
          <reference field="4294967294" count="1" selected="0">
            <x v="0"/>
          </reference>
          <reference field="2" count="1" selected="0">
            <x v="10"/>
          </reference>
        </references>
      </pivotArea>
    </chartFormat>
    <chartFormat chart="0" format="11" series="1">
      <pivotArea type="data" outline="0" fieldPosition="0">
        <references count="2">
          <reference field="4294967294" count="1" selected="0">
            <x v="0"/>
          </reference>
          <reference field="2" count="1" selected="0">
            <x v="11"/>
          </reference>
        </references>
      </pivotArea>
    </chartFormat>
    <chartFormat chart="0" format="12" series="1">
      <pivotArea type="data" outline="0" fieldPosition="0">
        <references count="2">
          <reference field="4294967294" count="1" selected="0">
            <x v="0"/>
          </reference>
          <reference field="2" count="1" selected="0">
            <x v="12"/>
          </reference>
        </references>
      </pivotArea>
    </chartFormat>
    <chartFormat chart="0" format="13" series="1">
      <pivotArea type="data" outline="0" fieldPosition="0">
        <references count="2">
          <reference field="4294967294" count="1" selected="0">
            <x v="0"/>
          </reference>
          <reference field="2"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87B395D-A6F3-4000-9E91-74EA69C0CDA1}" sourceName="state">
  <pivotTables>
    <pivotTable tabId="2" name="PivotTable1"/>
  </pivotTables>
  <data>
    <tabular pivotCacheId="1871730351">
      <items count="14">
        <i x="9" s="1"/>
        <i x="10" s="1"/>
        <i x="2" s="1"/>
        <i x="7" s="1"/>
        <i x="11" s="1"/>
        <i x="8" s="1"/>
        <i x="6" s="1"/>
        <i x="3" s="1"/>
        <i x="0" s="1"/>
        <i x="4" s="1"/>
        <i x="5" s="1"/>
        <i x="1" s="1"/>
        <i x="12" s="1"/>
        <i x="1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2085893C-39FB-444F-AD44-77CD48B91FB7}" cache="Slicer_state" caption="state" startItem="6"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B85EA1-AC49-4A57-ADB1-9A49E42C89A3}" name="Table1" displayName="Table1" ref="A1:EQ74" totalsRowShown="0" headerRowDxfId="7">
  <autoFilter ref="A1:EQ74" xr:uid="{8FB85EA1-AC49-4A57-ADB1-9A49E42C89A3}"/>
  <tableColumns count="147">
    <tableColumn id="1" xr3:uid="{6D4BB73C-76CB-4045-A4B1-1D3DF2513450}" name="status"/>
    <tableColumn id="2" xr3:uid="{1406877A-3E3C-42F0-AC2C-8E984285E607}" name="city"/>
    <tableColumn id="3" xr3:uid="{1E40936C-0A5A-46E8-BC02-91D26847C53F}" name="state"/>
    <tableColumn id="4" xr3:uid="{1C8F20F6-B3F0-4896-898E-065005CF69D0}" name="country"/>
    <tableColumn id="5" xr3:uid="{0D76FD55-EDFB-45CD-98CD-EB0B7E23CDF3}" name="classification"/>
    <tableColumn id="6" xr3:uid="{BAF0A83B-26C8-48EA-AD79-6148B4ABEFE6}" name="openfda/application_number/0"/>
    <tableColumn id="7" xr3:uid="{81833F6D-1076-40D0-93BC-6638E8BF19DD}" name="openfda/brand_name/0"/>
    <tableColumn id="8" xr3:uid="{FDA22A47-BB09-42A7-A3BA-46EE3DECEAE9}" name="openfda/generic_name/0"/>
    <tableColumn id="9" xr3:uid="{2F1C9F75-9AED-437B-89CE-DFFA488B2B4A}" name="openfda/manufacturer_name/0"/>
    <tableColumn id="10" xr3:uid="{63066370-609C-4AE2-9789-DD0E2339CA11}" name="openfda/product_ndc/0"/>
    <tableColumn id="11" xr3:uid="{EB24C6FA-A288-4187-BCCF-29EDEB039ABC}" name="openfda/product_type/0"/>
    <tableColumn id="12" xr3:uid="{702B903D-A2C0-4DFE-AE15-9841BBA87177}" name="openfda/route/0"/>
    <tableColumn id="13" xr3:uid="{30356EC3-4F94-4D8B-8BC0-D913BED29255}" name="openfda/substance_name/0"/>
    <tableColumn id="14" xr3:uid="{3BE7057A-0DEA-49FC-9471-F2A4EF94771F}" name="openfda/rxcui/0"/>
    <tableColumn id="15" xr3:uid="{6F72FC99-BE98-4A32-827A-8921CA391FC2}" name="openfda/rxcui/1"/>
    <tableColumn id="16" xr3:uid="{736063FA-C06C-4DEF-92A3-4076D4463460}" name="openfda/spl_id/0"/>
    <tableColumn id="17" xr3:uid="{4B82F56F-6BBE-4D96-82BC-4BABD6874B89}" name="openfda/spl_set_id/0"/>
    <tableColumn id="18" xr3:uid="{43F58F3C-CD81-40A1-9E39-31C7A7828C04}" name="openfda/package_ndc/0"/>
    <tableColumn id="19" xr3:uid="{C5CC09BD-5948-41BC-9A14-A206C7015DD5}" name="openfda/is_original_packager/0"/>
    <tableColumn id="20" xr3:uid="{8C571B5D-4868-4F96-B203-1D8C66D7CCED}" name="openfda/unii/0"/>
    <tableColumn id="21" xr3:uid="{5291162A-FBDD-4736-99FF-112C82C368CD}" name="openfda/upc/0" dataDxfId="6"/>
    <tableColumn id="22" xr3:uid="{F90DDA69-890C-423D-8386-28FAD6523C8F}" name="product_type"/>
    <tableColumn id="23" xr3:uid="{E586210D-B659-415C-9B24-D738BA23CC29}" name="event_id"/>
    <tableColumn id="24" xr3:uid="{6C9B3E5E-2089-485A-9D9D-DA6F1FA373A2}" name="recalling_firm"/>
    <tableColumn id="25" xr3:uid="{FD8E9F14-A592-485F-A2B5-24AC3F14BF36}" name="address_1"/>
    <tableColumn id="26" xr3:uid="{4AB9EE67-B153-47A7-A63E-DB6B8048BB5D}" name="address_2"/>
    <tableColumn id="27" xr3:uid="{0C453D2C-F79C-4408-931B-BE2F952F084D}" name="postal_code"/>
    <tableColumn id="28" xr3:uid="{02F21541-502F-4564-9756-A494722CD74B}" name="voluntary_mandated"/>
    <tableColumn id="29" xr3:uid="{368D1F06-42AD-4443-8749-E920511E78E8}" name="initial_firm_notification"/>
    <tableColumn id="30" xr3:uid="{C2C539BA-2952-411D-8947-709F2980A723}" name="distribution_pattern"/>
    <tableColumn id="31" xr3:uid="{DE29A9D9-DC34-40F4-BF56-569396AEBB68}" name="recall_number"/>
    <tableColumn id="32" xr3:uid="{E3C6954B-397B-459C-9690-F927BC7C0A09}" name="product_description"/>
    <tableColumn id="33" xr3:uid="{1342B21F-337B-4B9F-9AAF-BE705D4473E1}" name="product_quantity"/>
    <tableColumn id="34" xr3:uid="{EADDB9B2-1EAD-4E4C-9A4A-1E2980D23C79}" name="reason_for_recall"/>
    <tableColumn id="35" xr3:uid="{3A7CC62C-2400-4667-92F3-25EE462C654B}" name="recall_initiation_date"/>
    <tableColumn id="36" xr3:uid="{737B8302-5AC7-4CB9-954B-2EE6216D02B8}" name="center_classification_date"/>
    <tableColumn id="37" xr3:uid="{A37D73D6-2F91-4276-A1FA-3179D5CE441C}" name="termination_date"/>
    <tableColumn id="38" xr3:uid="{8822F9CC-879D-45B2-8500-76C26855404C}" name="report_date"/>
    <tableColumn id="39" xr3:uid="{9B250DFB-CEEA-4163-B1E9-1B1EBB600DA8}" name="code_info"/>
    <tableColumn id="40" xr3:uid="{2599CBEE-E14A-4E19-B25D-167C953A0BA0}" name="more_code_info"/>
    <tableColumn id="41" xr3:uid="{06E9325A-7BDF-4A44-81F8-16053FD4EDE1}" name="openfda/product_ndc/1"/>
    <tableColumn id="42" xr3:uid="{5E4411C0-842A-4042-B2B2-2C3280E84216}" name="openfda/product_ndc/2"/>
    <tableColumn id="43" xr3:uid="{8522B333-4CD9-468C-82C1-4D528C929437}" name="openfda/rxcui/2"/>
    <tableColumn id="44" xr3:uid="{BB1E2C1F-E91E-4384-865B-CB3192E29855}" name="openfda/package_ndc/1"/>
    <tableColumn id="45" xr3:uid="{289852D5-FD5B-4CAC-BA48-CEBACCD08D15}" name="openfda/package_ndc/2"/>
    <tableColumn id="46" xr3:uid="{0B5C1C37-1CD6-410F-A18A-75EECBF6A4AA}" name="openfda/package_ndc/3"/>
    <tableColumn id="47" xr3:uid="{C918C782-0592-4831-91CB-096B2312FA63}" name="openfda/package_ndc/4"/>
    <tableColumn id="48" xr3:uid="{473ADE6B-14CD-42BB-84BA-73A756B08DE0}" name="openfda/package_ndc/5"/>
    <tableColumn id="49" xr3:uid="{B4DC6DCB-D8B4-4985-928A-0B38C1AD0E6C}" name="openfda/package_ndc/6"/>
    <tableColumn id="50" xr3:uid="{4728435A-E7EF-446A-B641-F1DC90425930}" name="openfda/package_ndc/7"/>
    <tableColumn id="51" xr3:uid="{5E48FE72-E52E-47CE-86B7-69EB1E445D9A}" name="openfda/package_ndc/8"/>
    <tableColumn id="52" xr3:uid="{25A19C10-41C2-4342-BFF7-937911E12FBE}" name="openfda/package_ndc/9"/>
    <tableColumn id="53" xr3:uid="{9A0CC4DD-8659-4BDE-824A-B4AD89DFBB6C}" name="openfda/package_ndc/10"/>
    <tableColumn id="54" xr3:uid="{1599D9A6-857D-4376-80B5-1C321B1DD9C1}" name="openfda/package_ndc/11"/>
    <tableColumn id="55" xr3:uid="{0CBFE00F-AE5C-4803-B3A8-62459DAD2ADC}" name="openfda/route/1"/>
    <tableColumn id="56" xr3:uid="{53917106-93FC-4465-9EC7-281E0E59AD79}" name="openfda/upc/1" dataDxfId="5"/>
    <tableColumn id="57" xr3:uid="{A85B0A89-E3A7-45CE-94ED-905606AA8FD1}" name="openfda/upc/2" dataDxfId="4"/>
    <tableColumn id="58" xr3:uid="{5EF7134F-970E-4FAE-AD16-B1B0BF23B2C8}" name="openfda/product_ndc/3"/>
    <tableColumn id="59" xr3:uid="{B610CF1D-3DE0-4B23-95A9-060DD641DB77}" name="openfda/product_ndc/4"/>
    <tableColumn id="60" xr3:uid="{0824E9AD-10CF-4D3D-8F7F-0940AD688E09}" name="openfda/package_ndc/12"/>
    <tableColumn id="61" xr3:uid="{3DD513FB-ABB1-4A74-B2D6-7067D05D88A2}" name="openfda/package_ndc/13"/>
    <tableColumn id="62" xr3:uid="{66FA73D8-4E33-4557-8D76-B8F45C4C69D9}" name="openfda/package_ndc/14"/>
    <tableColumn id="63" xr3:uid="{F797594C-23E5-40C1-9999-BA3E79A74B30}" name="openfda/package_ndc/15"/>
    <tableColumn id="64" xr3:uid="{4B97582E-6FB7-476A-BDB8-062686ACD78C}" name="openfda/package_ndc/16"/>
    <tableColumn id="65" xr3:uid="{138F42AF-4412-4263-8CD0-EAB837AB59E4}" name="openfda/package_ndc/17"/>
    <tableColumn id="66" xr3:uid="{95249B77-3349-42D3-92CA-EE1889DBF8CC}" name="openfda/package_ndc/18"/>
    <tableColumn id="67" xr3:uid="{6B07A9C6-6AE1-4820-8C4B-0F447653E4BD}" name="openfda/package_ndc/19"/>
    <tableColumn id="68" xr3:uid="{6BCC6663-497F-4CBD-8E2A-6BBB6E1BCABE}" name="openfda/rxcui/3"/>
    <tableColumn id="69" xr3:uid="{B0D20702-3E78-4B4E-A3AD-B1A611C3E36A}" name="openfda/nui/0"/>
    <tableColumn id="70" xr3:uid="{C961C8F6-C94A-40DA-8A60-97DADA7719F3}" name="openfda/nui/1"/>
    <tableColumn id="71" xr3:uid="{0B1611B6-B36D-4F44-937A-0F3DCFACE538}" name="openfda/pharm_class_cs/0"/>
    <tableColumn id="72" xr3:uid="{7E455034-4DBE-4685-B46D-5FF786FC9D20}" name="openfda/pharm_class_epc/0"/>
    <tableColumn id="73" xr3:uid="{2D14E78D-9AD2-463C-98EE-C5ADD4DCD500}" name="openfda/product_ndc/5"/>
    <tableColumn id="74" xr3:uid="{D555AD8E-7A4B-40E5-B6C6-1891F454C2D5}" name="openfda/product_ndc/6"/>
    <tableColumn id="75" xr3:uid="{F95125C9-4491-4548-8603-E97CE120BB23}" name="openfda/product_ndc/7"/>
    <tableColumn id="76" xr3:uid="{51643AB6-BD2E-43E3-876B-4374308F0F3B}" name="openfda/product_ndc/8"/>
    <tableColumn id="77" xr3:uid="{1E385F1C-5A04-4279-8081-84C12432BB34}" name="openfda/product_ndc/9"/>
    <tableColumn id="78" xr3:uid="{72A60AD4-033D-4C58-8BEF-45F3B7999726}" name="openfda/product_ndc/10"/>
    <tableColumn id="79" xr3:uid="{89F98999-D549-4AD1-9269-286F2053F9A9}" name="openfda/product_ndc/11"/>
    <tableColumn id="80" xr3:uid="{832ABF3F-66EA-49C1-8B0D-329E962173A2}" name="openfda/rxcui/4"/>
    <tableColumn id="81" xr3:uid="{093BCA30-7EC7-44F1-A7CC-007124F149E4}" name="openfda/rxcui/5"/>
    <tableColumn id="82" xr3:uid="{62F2B7DA-577B-4E1E-9AE0-23B9A1B11915}" name="openfda/rxcui/6"/>
    <tableColumn id="83" xr3:uid="{269C5AE4-3269-4F89-988C-2D0987A536B2}" name="openfda/rxcui/7"/>
    <tableColumn id="84" xr3:uid="{AA0E231C-A407-4BD8-A91E-827C68490BF9}" name="openfda/rxcui/8"/>
    <tableColumn id="85" xr3:uid="{02EBBE9E-8A5E-432D-87D8-956EF10ADA35}" name="openfda/rxcui/9"/>
    <tableColumn id="86" xr3:uid="{063683B8-0259-4D27-9315-36078D5B79D7}" name="openfda/rxcui/10"/>
    <tableColumn id="87" xr3:uid="{D2B5B2CE-0D96-40AA-9599-A6AE0868B982}" name="openfda/rxcui/11"/>
    <tableColumn id="88" xr3:uid="{5FC96D86-5393-4459-9A14-E91BA27FFE30}" name="openfda/package_ndc/20"/>
    <tableColumn id="89" xr3:uid="{91A1D4E6-96B1-41C8-8BF7-1F72D78DADF4}" name="openfda/package_ndc/21"/>
    <tableColumn id="90" xr3:uid="{C72D9036-35CE-4EFB-8819-271B6D937029}" name="openfda/package_ndc/22"/>
    <tableColumn id="91" xr3:uid="{9F6DF7E5-257B-4B84-8ED9-4016AB6039CC}" name="openfda/package_ndc/23"/>
    <tableColumn id="92" xr3:uid="{9311608F-E757-4E5A-9DFE-E2BF4CFE92CC}" name="openfda/upc/3"/>
    <tableColumn id="93" xr3:uid="{86A059C6-8474-4CA9-92F8-3D91372B4B60}" name="openfda/upc/4" dataDxfId="3"/>
    <tableColumn id="94" xr3:uid="{7FB854F3-9DBB-4B5B-A673-3BE3A5FD3603}" name="openfda/upc/5" dataDxfId="2"/>
    <tableColumn id="95" xr3:uid="{A89FBFA8-70C8-4998-91B7-E5BD74EFE941}" name="openfda/upc/6"/>
    <tableColumn id="96" xr3:uid="{74FDCD23-D3C9-4E7A-B688-1ECB66A55202}" name="openfda/upc/7"/>
    <tableColumn id="97" xr3:uid="{A1E57C46-2DBB-417C-AF0A-817D61B140AF}" name="openfda/upc/8"/>
    <tableColumn id="98" xr3:uid="{093063B4-90BA-4A46-AA11-3B6EC3FCC3A8}" name="openfda/upc/9"/>
    <tableColumn id="99" xr3:uid="{0D760550-9247-4F5A-B564-5277E94099B4}" name="openfda/upc/10"/>
    <tableColumn id="100" xr3:uid="{91A660F5-BC58-4185-806A-851D3B574C10}" name="openfda/upc/11"/>
    <tableColumn id="101" xr3:uid="{440C371E-986B-43C9-B6EC-68FC8AEE087C}" name="openfda/substance_name/1"/>
    <tableColumn id="102" xr3:uid="{9DBDC20A-CA25-430B-901B-ECB4CBFA1455}" name="openfda/substance_name/2"/>
    <tableColumn id="103" xr3:uid="{C668B8B9-9467-4071-B430-D430A0997447}" name="openfda/nui/2"/>
    <tableColumn id="104" xr3:uid="{4D5A0728-4304-486A-B3F6-E608FE99ECEA}" name="openfda/nui/3"/>
    <tableColumn id="105" xr3:uid="{AEA1F985-715C-4FB5-BC2A-DC4BB3AC6088}" name="openfda/pharm_class_pe/0"/>
    <tableColumn id="106" xr3:uid="{732E4CE8-1116-4646-ABC2-88A68931FB84}" name="openfda/pharm_class_pe/1"/>
    <tableColumn id="107" xr3:uid="{87ABBD8F-A16C-4D12-BC35-028CC0C4EB47}" name="openfda/unii/1"/>
    <tableColumn id="108" xr3:uid="{05C97A26-C74D-4321-9A97-8EECB32045EE}" name="openfda/unii/2"/>
    <tableColumn id="109" xr3:uid="{0582E243-B30D-433D-8401-AEAB5860424B}" name="openfda/original_packager_product_ndc/0"/>
    <tableColumn id="110" xr3:uid="{C91BED56-73F5-497A-AB6D-12A6BA1A138C}" name="openfda/original_packager_product_ndc/1"/>
    <tableColumn id="111" xr3:uid="{1A1448FD-516F-4548-B7CB-9A451CC20B0C}" name="openfda/original_packager_product_ndc/2"/>
    <tableColumn id="112" xr3:uid="{23FBBF3F-7C67-480D-A3FC-9A9D534B77D6}" name="openfda/package_ndc/24"/>
    <tableColumn id="113" xr3:uid="{F114B840-9870-4EFD-947D-92F8D1903FE6}" name="openfda/package_ndc/25"/>
    <tableColumn id="114" xr3:uid="{C50F033D-D429-43F8-A75B-0FA7F69486B1}" name="openfda/package_ndc/26"/>
    <tableColumn id="115" xr3:uid="{036798A7-89F0-47B4-8610-0358A2230F70}" name="openfda/package_ndc/27"/>
    <tableColumn id="116" xr3:uid="{A6091F9A-DA57-4E1B-9908-1614AB2E97B2}" name="openfda/package_ndc/28"/>
    <tableColumn id="117" xr3:uid="{0714853D-044B-497D-8BD2-07190993D785}" name="openfda/package_ndc/29"/>
    <tableColumn id="118" xr3:uid="{2EA81630-EB3A-4474-A167-B319CDD08CA2}" name="openfda/package_ndc/30"/>
    <tableColumn id="119" xr3:uid="{D0554EA0-76CE-4539-BD31-5077A39788FC}" name="openfda/package_ndc/31"/>
    <tableColumn id="120" xr3:uid="{09FBBF22-C0BF-417F-BADC-C38E84A09C5F}" name="openfda/package_ndc/32"/>
    <tableColumn id="121" xr3:uid="{BA5894EB-0F59-449D-9C4A-BB3DDA65877C}" name="openfda/package_ndc/33"/>
    <tableColumn id="122" xr3:uid="{DC16D0BD-F858-40D7-BCB3-E7C215ED452D}" name="openfda/package_ndc/34"/>
    <tableColumn id="123" xr3:uid="{53D820DE-C853-45A9-87D0-C57CA893FFA1}" name="openfda/package_ndc/35"/>
    <tableColumn id="124" xr3:uid="{BEB9D716-7B96-4727-B344-E58C901E1667}" name="openfda/package_ndc/36"/>
    <tableColumn id="125" xr3:uid="{8163C08E-4464-4E19-9318-42B2C1BE3172}" name="openfda/package_ndc/37"/>
    <tableColumn id="126" xr3:uid="{C7832D30-F318-4221-A008-2A9C57417E9C}" name="openfda/package_ndc/38"/>
    <tableColumn id="127" xr3:uid="{DE89F24A-FE59-44EF-AEA2-65E5FE4D225A}" name="openfda/package_ndc/39"/>
    <tableColumn id="128" xr3:uid="{56F8C9FF-AB80-48E9-8B98-FE798736BFA8}" name="openfda/package_ndc/40"/>
    <tableColumn id="129" xr3:uid="{3741B0F1-29A3-42F3-A248-BDD838CFA0FA}" name="openfda/package_ndc/41"/>
    <tableColumn id="130" xr3:uid="{9B94DAF4-A936-4A81-9FF1-CAF9AB7F3DB8}" name="openfda/package_ndc/42"/>
    <tableColumn id="131" xr3:uid="{FED4D991-7312-4B5B-AD72-34DD2F31677E}" name="openfda/package_ndc/43"/>
    <tableColumn id="132" xr3:uid="{2AA2A03D-08B7-4D5A-A377-C5FA2DA240A0}" name="openfda/pharm_class_moa/0"/>
    <tableColumn id="133" xr3:uid="{D496625D-E824-4B97-B5B8-D971A98028A1}" name="openfda/rxcui/12"/>
    <tableColumn id="134" xr3:uid="{ACA77A81-DDC4-4550-B8E6-7A5B3B5980E4}" name="openfda/rxcui/13"/>
    <tableColumn id="135" xr3:uid="{555AEDF2-206A-4852-8376-DB8D3628D25D}" name="openfda/route/2"/>
    <tableColumn id="136" xr3:uid="{1C7130B7-178F-4540-B4DE-DF81FAC6B89A}" name="openfda/original_packager_product_ndc/3"/>
    <tableColumn id="137" xr3:uid="{6EDA19D8-9FCD-41DB-8C12-A3FCA4AA2E2D}" name="openfda/pharm_class_epc/1"/>
    <tableColumn id="138" xr3:uid="{766A554D-745A-4C82-B416-9E3FF46E331A}" name="openfda/pharm_class_moa/1"/>
    <tableColumn id="139" xr3:uid="{DC97A078-94D4-4B95-805D-EC269AC3D279}" name="openfda/substance_name/3"/>
    <tableColumn id="140" xr3:uid="{B32D8BAC-D0B7-4790-8386-AE160F817EAC}" name="openfda/unii/3"/>
    <tableColumn id="141" xr3:uid="{80220364-A173-457E-B8A2-2BA8FC44E204}" name="openfda/substance_name/4"/>
    <tableColumn id="142" xr3:uid="{0625BFED-66C5-4E60-A801-6EE6B26F79C1}" name="openfda/unii/4"/>
    <tableColumn id="143" xr3:uid="{74663E26-51F5-4282-B8AD-E982AA910C43}" name="openfda/nui/4"/>
    <tableColumn id="144" xr3:uid="{A9F42D4F-916F-4D5F-9FA3-BD2B686A5E50}" name="openfda/nui/5"/>
    <tableColumn id="145" xr3:uid="{1050973D-E0B5-4AEF-9A11-9C8DD5C44B04}" name="openfda/pharm_class_epc/2"/>
    <tableColumn id="146" xr3:uid="{021D182D-9074-4095-94B9-8AB5B6A7B3EA}" name="Product Status" dataDxfId="1">
      <calculatedColumnFormula>IF(A2="Ongoing", "Active", "Inactive")</calculatedColumnFormula>
    </tableColumn>
    <tableColumn id="147" xr3:uid="{5688A653-D135-4207-B824-1198E241405D}" name="TEST" dataDxfId="0">
      <calculatedColumnFormula>VLOOKUP("M005", A2:G6, 2, FALSE)</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B53EF-ED0E-4EB1-8C93-697B318976E8}">
  <sheetPr codeName="Sheet1"/>
  <dimension ref="A3:P21"/>
  <sheetViews>
    <sheetView showGridLines="0" tabSelected="1" workbookViewId="0">
      <selection activeCell="L26" sqref="L26"/>
    </sheetView>
  </sheetViews>
  <sheetFormatPr defaultRowHeight="15"/>
  <cols>
    <col min="1" max="1" width="38" bestFit="1" customWidth="1"/>
    <col min="2" max="2" width="16.85546875" bestFit="1" customWidth="1"/>
    <col min="3" max="5" width="11.28515625" bestFit="1" customWidth="1"/>
    <col min="6" max="6" width="3.7109375" bestFit="1" customWidth="1"/>
    <col min="7" max="7" width="3.140625" bestFit="1" customWidth="1"/>
    <col min="8" max="8" width="4.28515625" bestFit="1" customWidth="1"/>
    <col min="9" max="9" width="3.85546875" bestFit="1" customWidth="1"/>
    <col min="10" max="10" width="3.140625" bestFit="1" customWidth="1"/>
    <col min="11" max="11" width="3.5703125" bestFit="1" customWidth="1"/>
    <col min="12" max="12" width="3.85546875" bestFit="1" customWidth="1"/>
    <col min="13" max="13" width="3.42578125" bestFit="1" customWidth="1"/>
    <col min="14" max="14" width="3.28515625" bestFit="1" customWidth="1"/>
    <col min="15" max="15" width="7.28515625" bestFit="1" customWidth="1"/>
    <col min="16" max="16" width="11.28515625" bestFit="1" customWidth="1"/>
  </cols>
  <sheetData>
    <row r="3" spans="1:16">
      <c r="A3" s="3" t="s">
        <v>0</v>
      </c>
      <c r="B3" s="3" t="s">
        <v>1</v>
      </c>
    </row>
    <row r="4" spans="1:16">
      <c r="A4" s="3" t="s">
        <v>2</v>
      </c>
      <c r="B4" t="s">
        <v>3</v>
      </c>
      <c r="C4" t="s">
        <v>4</v>
      </c>
      <c r="D4" t="s">
        <v>5</v>
      </c>
    </row>
    <row r="5" spans="1:16">
      <c r="A5" s="4" t="s">
        <v>6</v>
      </c>
      <c r="B5">
        <v>4</v>
      </c>
      <c r="C5">
        <v>5</v>
      </c>
      <c r="D5">
        <v>9</v>
      </c>
    </row>
    <row r="6" spans="1:16">
      <c r="A6" s="4" t="s">
        <v>7</v>
      </c>
      <c r="B6">
        <v>31</v>
      </c>
      <c r="C6">
        <v>27</v>
      </c>
      <c r="D6">
        <v>58</v>
      </c>
    </row>
    <row r="7" spans="1:16">
      <c r="A7" s="4" t="s">
        <v>8</v>
      </c>
      <c r="B7">
        <v>1</v>
      </c>
      <c r="C7">
        <v>5</v>
      </c>
      <c r="D7">
        <v>6</v>
      </c>
    </row>
    <row r="8" spans="1:16">
      <c r="A8" s="4" t="s">
        <v>5</v>
      </c>
      <c r="B8">
        <v>36</v>
      </c>
      <c r="C8">
        <v>37</v>
      </c>
      <c r="D8">
        <v>73</v>
      </c>
    </row>
    <row r="15" spans="1:16">
      <c r="A15" s="3" t="s">
        <v>9</v>
      </c>
      <c r="B15" s="3" t="s">
        <v>1</v>
      </c>
    </row>
    <row r="16" spans="1:16">
      <c r="A16" s="3" t="s">
        <v>2</v>
      </c>
      <c r="B16" t="s">
        <v>10</v>
      </c>
      <c r="C16" t="s">
        <v>11</v>
      </c>
      <c r="D16" t="s">
        <v>12</v>
      </c>
      <c r="E16" t="s">
        <v>13</v>
      </c>
      <c r="F16" t="s">
        <v>14</v>
      </c>
      <c r="G16" t="s">
        <v>15</v>
      </c>
      <c r="H16" t="s">
        <v>16</v>
      </c>
      <c r="I16" t="s">
        <v>17</v>
      </c>
      <c r="J16" t="s">
        <v>18</v>
      </c>
      <c r="K16" t="s">
        <v>19</v>
      </c>
      <c r="L16" t="s">
        <v>20</v>
      </c>
      <c r="M16" t="s">
        <v>21</v>
      </c>
      <c r="N16" t="s">
        <v>22</v>
      </c>
      <c r="O16" t="s">
        <v>23</v>
      </c>
      <c r="P16" t="s">
        <v>5</v>
      </c>
    </row>
    <row r="17" spans="1:16">
      <c r="A17" s="4" t="s">
        <v>6</v>
      </c>
      <c r="B17">
        <v>3</v>
      </c>
      <c r="D17">
        <v>2</v>
      </c>
      <c r="J17">
        <v>3</v>
      </c>
      <c r="K17">
        <v>1</v>
      </c>
      <c r="P17">
        <v>9</v>
      </c>
    </row>
    <row r="18" spans="1:16">
      <c r="A18" s="4" t="s">
        <v>7</v>
      </c>
      <c r="B18">
        <v>2</v>
      </c>
      <c r="C18">
        <v>4</v>
      </c>
      <c r="D18">
        <v>2</v>
      </c>
      <c r="E18">
        <v>1</v>
      </c>
      <c r="G18">
        <v>1</v>
      </c>
      <c r="H18">
        <v>6</v>
      </c>
      <c r="I18">
        <v>1</v>
      </c>
      <c r="J18">
        <v>22</v>
      </c>
      <c r="K18">
        <v>4</v>
      </c>
      <c r="L18">
        <v>5</v>
      </c>
      <c r="M18">
        <v>8</v>
      </c>
      <c r="N18">
        <v>2</v>
      </c>
      <c r="P18">
        <v>58</v>
      </c>
    </row>
    <row r="19" spans="1:16">
      <c r="A19" s="4" t="s">
        <v>8</v>
      </c>
      <c r="F19">
        <v>2</v>
      </c>
      <c r="I19">
        <v>2</v>
      </c>
      <c r="J19">
        <v>2</v>
      </c>
      <c r="P19">
        <v>6</v>
      </c>
    </row>
    <row r="20" spans="1:16">
      <c r="A20" s="4" t="s">
        <v>23</v>
      </c>
    </row>
    <row r="21" spans="1:16">
      <c r="A21" s="4" t="s">
        <v>5</v>
      </c>
      <c r="B21">
        <v>5</v>
      </c>
      <c r="C21">
        <v>4</v>
      </c>
      <c r="D21">
        <v>4</v>
      </c>
      <c r="E21">
        <v>1</v>
      </c>
      <c r="F21">
        <v>2</v>
      </c>
      <c r="G21">
        <v>1</v>
      </c>
      <c r="H21">
        <v>6</v>
      </c>
      <c r="I21">
        <v>3</v>
      </c>
      <c r="J21">
        <v>27</v>
      </c>
      <c r="K21">
        <v>5</v>
      </c>
      <c r="L21">
        <v>5</v>
      </c>
      <c r="M21">
        <v>8</v>
      </c>
      <c r="N21">
        <v>2</v>
      </c>
      <c r="P21">
        <v>73</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AC066-DA25-495F-99B5-69D35DF0641C}">
  <sheetPr codeName="Sheet2"/>
  <dimension ref="A1:EQ74"/>
  <sheetViews>
    <sheetView workbookViewId="0">
      <selection activeCell="F2" sqref="F2"/>
    </sheetView>
  </sheetViews>
  <sheetFormatPr defaultRowHeight="15"/>
  <cols>
    <col min="1" max="1" width="11" bestFit="1" customWidth="1"/>
    <col min="2" max="2" width="21" bestFit="1" customWidth="1"/>
    <col min="3" max="3" width="7.7109375" customWidth="1"/>
    <col min="4" max="4" width="12.42578125" bestFit="1" customWidth="1"/>
    <col min="5" max="5" width="15.140625" customWidth="1"/>
    <col min="6" max="6" width="30.85546875" customWidth="1"/>
    <col min="7" max="8" width="113.85546875" bestFit="1" customWidth="1"/>
    <col min="9" max="9" width="37" bestFit="1" customWidth="1"/>
    <col min="10" max="10" width="24.140625" customWidth="1"/>
    <col min="11" max="11" width="26.85546875" bestFit="1" customWidth="1"/>
    <col min="12" max="12" width="26" bestFit="1" customWidth="1"/>
    <col min="13" max="13" width="39.140625" bestFit="1" customWidth="1"/>
    <col min="14" max="15" width="17.42578125" customWidth="1"/>
    <col min="16" max="17" width="38.140625" bestFit="1" customWidth="1"/>
    <col min="18" max="18" width="24.42578125" customWidth="1"/>
    <col min="19" max="19" width="31" customWidth="1"/>
    <col min="20" max="20" width="16.42578125" customWidth="1"/>
    <col min="21" max="21" width="16.28515625" customWidth="1"/>
    <col min="22" max="22" width="15" customWidth="1"/>
    <col min="23" max="23" width="10.85546875" customWidth="1"/>
    <col min="24" max="24" width="44.7109375" bestFit="1" customWidth="1"/>
    <col min="25" max="25" width="34.42578125" bestFit="1" customWidth="1"/>
    <col min="26" max="26" width="19.7109375" bestFit="1" customWidth="1"/>
    <col min="27" max="27" width="14" customWidth="1"/>
    <col min="28" max="28" width="22.5703125" bestFit="1" customWidth="1"/>
    <col min="29" max="29" width="24.140625" customWidth="1"/>
    <col min="30" max="30" width="255.7109375" bestFit="1" customWidth="1"/>
    <col min="31" max="31" width="16" customWidth="1"/>
    <col min="32" max="32" width="255.7109375" bestFit="1" customWidth="1"/>
    <col min="33" max="33" width="48.28515625" bestFit="1" customWidth="1"/>
    <col min="34" max="34" width="197.85546875" bestFit="1" customWidth="1"/>
    <col min="35" max="35" width="22" customWidth="1"/>
    <col min="36" max="36" width="26.7109375" customWidth="1"/>
    <col min="37" max="37" width="18.5703125" customWidth="1"/>
    <col min="38" max="38" width="13.5703125" customWidth="1"/>
    <col min="39" max="39" width="255.7109375" bestFit="1" customWidth="1"/>
    <col min="40" max="40" width="17.5703125" customWidth="1"/>
    <col min="41" max="42" width="24.140625" customWidth="1"/>
    <col min="43" max="43" width="17.42578125" customWidth="1"/>
    <col min="44" max="52" width="24.42578125" customWidth="1"/>
    <col min="53" max="54" width="25.42578125" customWidth="1"/>
    <col min="55" max="55" width="17.85546875" customWidth="1"/>
    <col min="56" max="57" width="16.28515625" customWidth="1"/>
    <col min="58" max="59" width="24.140625" customWidth="1"/>
    <col min="60" max="67" width="25.42578125" customWidth="1"/>
    <col min="68" max="68" width="17.42578125" customWidth="1"/>
    <col min="69" max="70" width="15.85546875" customWidth="1"/>
    <col min="71" max="71" width="41.28515625" bestFit="1" customWidth="1"/>
    <col min="72" max="72" width="39.42578125" bestFit="1" customWidth="1"/>
    <col min="73" max="77" width="24.140625" customWidth="1"/>
    <col min="78" max="79" width="25.140625" customWidth="1"/>
    <col min="80" max="85" width="17.42578125" customWidth="1"/>
    <col min="86" max="87" width="18.42578125" customWidth="1"/>
    <col min="88" max="91" width="25.42578125" customWidth="1"/>
    <col min="92" max="98" width="16.28515625" customWidth="1"/>
    <col min="99" max="100" width="17.28515625" customWidth="1"/>
    <col min="101" max="101" width="34.140625" bestFit="1" customWidth="1"/>
    <col min="102" max="102" width="33.140625" bestFit="1" customWidth="1"/>
    <col min="103" max="104" width="15.85546875" customWidth="1"/>
    <col min="105" max="105" width="64" bestFit="1" customWidth="1"/>
    <col min="106" max="106" width="27.28515625" customWidth="1"/>
    <col min="107" max="108" width="16.42578125" customWidth="1"/>
    <col min="109" max="111" width="40.5703125" customWidth="1"/>
    <col min="112" max="131" width="25.42578125" customWidth="1"/>
    <col min="132" max="132" width="49.7109375" bestFit="1" customWidth="1"/>
    <col min="133" max="134" width="18.42578125" customWidth="1"/>
    <col min="135" max="135" width="17.85546875" customWidth="1"/>
    <col min="136" max="136" width="40.5703125" customWidth="1"/>
    <col min="137" max="137" width="41.5703125" bestFit="1" customWidth="1"/>
    <col min="138" max="138" width="34" bestFit="1" customWidth="1"/>
    <col min="139" max="139" width="29.140625" bestFit="1" customWidth="1"/>
    <col min="140" max="140" width="16.42578125" customWidth="1"/>
    <col min="141" max="141" width="28.140625" customWidth="1"/>
    <col min="142" max="142" width="16.42578125" customWidth="1"/>
    <col min="143" max="144" width="15.85546875" customWidth="1"/>
    <col min="145" max="145" width="28.28515625" customWidth="1"/>
    <col min="146" max="146" width="16.5703125" bestFit="1" customWidth="1"/>
    <col min="147" max="147" width="11.42578125" bestFit="1" customWidth="1"/>
  </cols>
  <sheetData>
    <row r="1" spans="1:147" s="2" customFormat="1">
      <c r="A1" s="2" t="s">
        <v>24</v>
      </c>
      <c r="B1" s="2" t="s">
        <v>25</v>
      </c>
      <c r="C1" s="2" t="s">
        <v>26</v>
      </c>
      <c r="D1" s="2" t="s">
        <v>27</v>
      </c>
      <c r="E1" s="2" t="s">
        <v>28</v>
      </c>
      <c r="F1" s="2" t="s">
        <v>29</v>
      </c>
      <c r="G1" s="2" t="s">
        <v>30</v>
      </c>
      <c r="H1" s="2" t="s">
        <v>31</v>
      </c>
      <c r="I1" s="2" t="s">
        <v>32</v>
      </c>
      <c r="J1" s="2" t="s">
        <v>33</v>
      </c>
      <c r="K1" s="2" t="s">
        <v>34</v>
      </c>
      <c r="L1" s="2" t="s">
        <v>35</v>
      </c>
      <c r="M1" s="2" t="s">
        <v>36</v>
      </c>
      <c r="N1" s="2" t="s">
        <v>37</v>
      </c>
      <c r="O1" s="2" t="s">
        <v>38</v>
      </c>
      <c r="P1" s="2" t="s">
        <v>39</v>
      </c>
      <c r="Q1" s="2" t="s">
        <v>40</v>
      </c>
      <c r="R1" s="2" t="s">
        <v>41</v>
      </c>
      <c r="S1" s="2" t="s">
        <v>42</v>
      </c>
      <c r="T1" s="2" t="s">
        <v>43</v>
      </c>
      <c r="U1" s="2" t="s">
        <v>44</v>
      </c>
      <c r="V1" s="2" t="s">
        <v>45</v>
      </c>
      <c r="W1" s="2" t="s">
        <v>46</v>
      </c>
      <c r="X1" s="2" t="s">
        <v>47</v>
      </c>
      <c r="Y1" s="2" t="s">
        <v>48</v>
      </c>
      <c r="Z1" s="2" t="s">
        <v>49</v>
      </c>
      <c r="AA1" s="2" t="s">
        <v>50</v>
      </c>
      <c r="AB1" s="2" t="s">
        <v>51</v>
      </c>
      <c r="AC1" s="2" t="s">
        <v>52</v>
      </c>
      <c r="AD1" s="2" t="s">
        <v>53</v>
      </c>
      <c r="AE1" s="2" t="s">
        <v>54</v>
      </c>
      <c r="AF1" s="2" t="s">
        <v>55</v>
      </c>
      <c r="AG1" s="2" t="s">
        <v>56</v>
      </c>
      <c r="AH1" s="2" t="s">
        <v>57</v>
      </c>
      <c r="AI1" s="2" t="s">
        <v>58</v>
      </c>
      <c r="AJ1" s="2" t="s">
        <v>59</v>
      </c>
      <c r="AK1" s="2" t="s">
        <v>60</v>
      </c>
      <c r="AL1" s="2" t="s">
        <v>61</v>
      </c>
      <c r="AM1" s="2" t="s">
        <v>62</v>
      </c>
      <c r="AN1" s="2" t="s">
        <v>63</v>
      </c>
      <c r="AO1" s="2" t="s">
        <v>64</v>
      </c>
      <c r="AP1" s="2" t="s">
        <v>65</v>
      </c>
      <c r="AQ1" s="2" t="s">
        <v>66</v>
      </c>
      <c r="AR1" s="2" t="s">
        <v>67</v>
      </c>
      <c r="AS1" s="2" t="s">
        <v>68</v>
      </c>
      <c r="AT1" s="2" t="s">
        <v>69</v>
      </c>
      <c r="AU1" s="2" t="s">
        <v>70</v>
      </c>
      <c r="AV1" s="2" t="s">
        <v>71</v>
      </c>
      <c r="AW1" s="2" t="s">
        <v>72</v>
      </c>
      <c r="AX1" s="2" t="s">
        <v>73</v>
      </c>
      <c r="AY1" s="2" t="s">
        <v>74</v>
      </c>
      <c r="AZ1" s="2" t="s">
        <v>75</v>
      </c>
      <c r="BA1" s="2" t="s">
        <v>76</v>
      </c>
      <c r="BB1" s="2" t="s">
        <v>77</v>
      </c>
      <c r="BC1" s="2" t="s">
        <v>78</v>
      </c>
      <c r="BD1" s="2" t="s">
        <v>79</v>
      </c>
      <c r="BE1" s="2" t="s">
        <v>80</v>
      </c>
      <c r="BF1" s="2" t="s">
        <v>81</v>
      </c>
      <c r="BG1" s="2" t="s">
        <v>82</v>
      </c>
      <c r="BH1" s="2" t="s">
        <v>83</v>
      </c>
      <c r="BI1" s="2" t="s">
        <v>84</v>
      </c>
      <c r="BJ1" s="2" t="s">
        <v>85</v>
      </c>
      <c r="BK1" s="2" t="s">
        <v>86</v>
      </c>
      <c r="BL1" s="2" t="s">
        <v>87</v>
      </c>
      <c r="BM1" s="2" t="s">
        <v>88</v>
      </c>
      <c r="BN1" s="2" t="s">
        <v>89</v>
      </c>
      <c r="BO1" s="2" t="s">
        <v>90</v>
      </c>
      <c r="BP1" s="2" t="s">
        <v>91</v>
      </c>
      <c r="BQ1" s="2" t="s">
        <v>92</v>
      </c>
      <c r="BR1" s="2" t="s">
        <v>93</v>
      </c>
      <c r="BS1" s="2" t="s">
        <v>94</v>
      </c>
      <c r="BT1" s="2" t="s">
        <v>95</v>
      </c>
      <c r="BU1" s="2" t="s">
        <v>96</v>
      </c>
      <c r="BV1" s="2" t="s">
        <v>97</v>
      </c>
      <c r="BW1" s="2" t="s">
        <v>98</v>
      </c>
      <c r="BX1" s="2" t="s">
        <v>99</v>
      </c>
      <c r="BY1" s="2" t="s">
        <v>100</v>
      </c>
      <c r="BZ1" s="2" t="s">
        <v>101</v>
      </c>
      <c r="CA1" s="2" t="s">
        <v>102</v>
      </c>
      <c r="CB1" s="2" t="s">
        <v>103</v>
      </c>
      <c r="CC1" s="2" t="s">
        <v>104</v>
      </c>
      <c r="CD1" s="2" t="s">
        <v>105</v>
      </c>
      <c r="CE1" s="2" t="s">
        <v>106</v>
      </c>
      <c r="CF1" s="2" t="s">
        <v>107</v>
      </c>
      <c r="CG1" s="2" t="s">
        <v>108</v>
      </c>
      <c r="CH1" s="2" t="s">
        <v>109</v>
      </c>
      <c r="CI1" s="2" t="s">
        <v>110</v>
      </c>
      <c r="CJ1" s="2" t="s">
        <v>111</v>
      </c>
      <c r="CK1" s="2" t="s">
        <v>112</v>
      </c>
      <c r="CL1" s="2" t="s">
        <v>113</v>
      </c>
      <c r="CM1" s="2" t="s">
        <v>114</v>
      </c>
      <c r="CN1" s="2" t="s">
        <v>115</v>
      </c>
      <c r="CO1" s="2" t="s">
        <v>116</v>
      </c>
      <c r="CP1" s="2" t="s">
        <v>117</v>
      </c>
      <c r="CQ1" s="2" t="s">
        <v>118</v>
      </c>
      <c r="CR1" s="2" t="s">
        <v>119</v>
      </c>
      <c r="CS1" s="2" t="s">
        <v>120</v>
      </c>
      <c r="CT1" s="2" t="s">
        <v>121</v>
      </c>
      <c r="CU1" s="2" t="s">
        <v>122</v>
      </c>
      <c r="CV1" s="2" t="s">
        <v>123</v>
      </c>
      <c r="CW1" s="2" t="s">
        <v>124</v>
      </c>
      <c r="CX1" s="2" t="s">
        <v>125</v>
      </c>
      <c r="CY1" s="2" t="s">
        <v>126</v>
      </c>
      <c r="CZ1" s="2" t="s">
        <v>127</v>
      </c>
      <c r="DA1" s="2" t="s">
        <v>128</v>
      </c>
      <c r="DB1" s="2" t="s">
        <v>129</v>
      </c>
      <c r="DC1" s="2" t="s">
        <v>130</v>
      </c>
      <c r="DD1" s="2" t="s">
        <v>131</v>
      </c>
      <c r="DE1" s="2" t="s">
        <v>132</v>
      </c>
      <c r="DF1" s="2" t="s">
        <v>133</v>
      </c>
      <c r="DG1" s="2" t="s">
        <v>134</v>
      </c>
      <c r="DH1" s="2" t="s">
        <v>135</v>
      </c>
      <c r="DI1" s="2" t="s">
        <v>136</v>
      </c>
      <c r="DJ1" s="2" t="s">
        <v>137</v>
      </c>
      <c r="DK1" s="2" t="s">
        <v>138</v>
      </c>
      <c r="DL1" s="2" t="s">
        <v>139</v>
      </c>
      <c r="DM1" s="2" t="s">
        <v>140</v>
      </c>
      <c r="DN1" s="2" t="s">
        <v>141</v>
      </c>
      <c r="DO1" s="2" t="s">
        <v>142</v>
      </c>
      <c r="DP1" s="2" t="s">
        <v>143</v>
      </c>
      <c r="DQ1" s="2" t="s">
        <v>144</v>
      </c>
      <c r="DR1" s="2" t="s">
        <v>145</v>
      </c>
      <c r="DS1" s="2" t="s">
        <v>146</v>
      </c>
      <c r="DT1" s="2" t="s">
        <v>147</v>
      </c>
      <c r="DU1" s="2" t="s">
        <v>148</v>
      </c>
      <c r="DV1" s="2" t="s">
        <v>149</v>
      </c>
      <c r="DW1" s="2" t="s">
        <v>150</v>
      </c>
      <c r="DX1" s="2" t="s">
        <v>151</v>
      </c>
      <c r="DY1" s="2" t="s">
        <v>152</v>
      </c>
      <c r="DZ1" s="2" t="s">
        <v>153</v>
      </c>
      <c r="EA1" s="2" t="s">
        <v>154</v>
      </c>
      <c r="EB1" s="2" t="s">
        <v>155</v>
      </c>
      <c r="EC1" s="2" t="s">
        <v>156</v>
      </c>
      <c r="ED1" s="2" t="s">
        <v>157</v>
      </c>
      <c r="EE1" s="2" t="s">
        <v>158</v>
      </c>
      <c r="EF1" s="2" t="s">
        <v>159</v>
      </c>
      <c r="EG1" s="2" t="s">
        <v>160</v>
      </c>
      <c r="EH1" s="2" t="s">
        <v>161</v>
      </c>
      <c r="EI1" s="2" t="s">
        <v>162</v>
      </c>
      <c r="EJ1" s="2" t="s">
        <v>163</v>
      </c>
      <c r="EK1" s="2" t="s">
        <v>164</v>
      </c>
      <c r="EL1" s="2" t="s">
        <v>165</v>
      </c>
      <c r="EM1" s="2" t="s">
        <v>166</v>
      </c>
      <c r="EN1" s="2" t="s">
        <v>167</v>
      </c>
      <c r="EO1" s="2" t="s">
        <v>168</v>
      </c>
      <c r="EP1" s="2" t="s">
        <v>169</v>
      </c>
      <c r="EQ1" s="2" t="s">
        <v>170</v>
      </c>
    </row>
    <row r="2" spans="1:147">
      <c r="A2" t="s">
        <v>4</v>
      </c>
      <c r="B2" t="s">
        <v>171</v>
      </c>
      <c r="C2" t="s">
        <v>18</v>
      </c>
      <c r="D2" t="s">
        <v>172</v>
      </c>
      <c r="E2" t="s">
        <v>6</v>
      </c>
      <c r="F2" t="s">
        <v>173</v>
      </c>
      <c r="G2" t="s">
        <v>174</v>
      </c>
      <c r="H2" t="s">
        <v>175</v>
      </c>
      <c r="I2" t="s">
        <v>176</v>
      </c>
      <c r="J2" t="s">
        <v>177</v>
      </c>
      <c r="K2" t="s">
        <v>178</v>
      </c>
      <c r="L2" t="s">
        <v>179</v>
      </c>
      <c r="M2" t="s">
        <v>175</v>
      </c>
      <c r="N2">
        <v>705934</v>
      </c>
      <c r="O2">
        <v>705936</v>
      </c>
      <c r="P2" t="s">
        <v>180</v>
      </c>
      <c r="Q2" t="s">
        <v>181</v>
      </c>
      <c r="R2" t="s">
        <v>182</v>
      </c>
      <c r="S2" t="b">
        <v>1</v>
      </c>
      <c r="T2" t="s">
        <v>183</v>
      </c>
      <c r="U2" s="1">
        <v>311000000000</v>
      </c>
      <c r="V2" t="s">
        <v>184</v>
      </c>
      <c r="W2">
        <v>88677</v>
      </c>
      <c r="X2" t="s">
        <v>185</v>
      </c>
      <c r="Y2" t="s">
        <v>186</v>
      </c>
      <c r="Z2" t="s">
        <v>16</v>
      </c>
      <c r="AA2" t="s">
        <v>187</v>
      </c>
      <c r="AB2" t="s">
        <v>188</v>
      </c>
      <c r="AC2" t="s">
        <v>189</v>
      </c>
      <c r="AD2" t="s">
        <v>190</v>
      </c>
      <c r="AE2" t="s">
        <v>191</v>
      </c>
      <c r="AF2" t="s">
        <v>192</v>
      </c>
      <c r="AG2" t="s">
        <v>193</v>
      </c>
      <c r="AH2" t="s">
        <v>194</v>
      </c>
      <c r="AI2">
        <v>20211001</v>
      </c>
      <c r="AJ2">
        <v>20211118</v>
      </c>
      <c r="AK2">
        <v>20230626</v>
      </c>
      <c r="AL2">
        <v>20211124</v>
      </c>
      <c r="AM2" t="s">
        <v>195</v>
      </c>
      <c r="AN2" t="s">
        <v>196</v>
      </c>
      <c r="AO2" t="s">
        <v>196</v>
      </c>
      <c r="AP2" t="s">
        <v>196</v>
      </c>
      <c r="AQ2" t="s">
        <v>196</v>
      </c>
      <c r="AR2" t="s">
        <v>196</v>
      </c>
      <c r="AS2" t="s">
        <v>196</v>
      </c>
      <c r="AT2" t="s">
        <v>196</v>
      </c>
      <c r="AU2" t="s">
        <v>196</v>
      </c>
      <c r="AV2" t="s">
        <v>196</v>
      </c>
      <c r="AW2" t="s">
        <v>196</v>
      </c>
      <c r="AX2" t="s">
        <v>196</v>
      </c>
      <c r="AY2" t="s">
        <v>196</v>
      </c>
      <c r="AZ2" t="s">
        <v>196</v>
      </c>
      <c r="BA2" t="s">
        <v>196</v>
      </c>
      <c r="BB2" t="s">
        <v>196</v>
      </c>
      <c r="BC2" t="s">
        <v>196</v>
      </c>
      <c r="BD2" t="s">
        <v>196</v>
      </c>
      <c r="BE2" t="s">
        <v>196</v>
      </c>
      <c r="BF2" t="s">
        <v>196</v>
      </c>
      <c r="BG2" t="s">
        <v>196</v>
      </c>
      <c r="BH2" t="s">
        <v>196</v>
      </c>
      <c r="BI2" t="s">
        <v>196</v>
      </c>
      <c r="BJ2" t="s">
        <v>196</v>
      </c>
      <c r="BK2" t="s">
        <v>196</v>
      </c>
      <c r="BL2" t="s">
        <v>196</v>
      </c>
      <c r="BM2" t="s">
        <v>196</v>
      </c>
      <c r="BN2" t="s">
        <v>196</v>
      </c>
      <c r="BO2" t="s">
        <v>196</v>
      </c>
      <c r="BP2" t="s">
        <v>196</v>
      </c>
      <c r="BQ2" t="s">
        <v>196</v>
      </c>
      <c r="BR2" t="s">
        <v>196</v>
      </c>
      <c r="BS2" t="s">
        <v>196</v>
      </c>
      <c r="BT2" t="s">
        <v>196</v>
      </c>
      <c r="BU2" t="s">
        <v>196</v>
      </c>
      <c r="BV2" t="s">
        <v>196</v>
      </c>
      <c r="BW2" t="s">
        <v>196</v>
      </c>
      <c r="BX2" t="s">
        <v>196</v>
      </c>
      <c r="BY2" t="s">
        <v>196</v>
      </c>
      <c r="BZ2" t="s">
        <v>196</v>
      </c>
      <c r="CA2" t="s">
        <v>196</v>
      </c>
      <c r="CB2" t="s">
        <v>196</v>
      </c>
      <c r="CC2" t="s">
        <v>196</v>
      </c>
      <c r="CD2" t="s">
        <v>196</v>
      </c>
      <c r="CE2" t="s">
        <v>196</v>
      </c>
      <c r="CF2" t="s">
        <v>196</v>
      </c>
      <c r="CG2" t="s">
        <v>196</v>
      </c>
      <c r="CH2" t="s">
        <v>196</v>
      </c>
      <c r="CI2" t="s">
        <v>196</v>
      </c>
      <c r="CJ2" t="s">
        <v>196</v>
      </c>
      <c r="CK2" t="s">
        <v>196</v>
      </c>
      <c r="CL2" t="s">
        <v>196</v>
      </c>
      <c r="CM2" t="s">
        <v>196</v>
      </c>
      <c r="CN2" t="s">
        <v>196</v>
      </c>
      <c r="CO2" t="s">
        <v>196</v>
      </c>
      <c r="CP2" t="s">
        <v>196</v>
      </c>
      <c r="CQ2" t="s">
        <v>196</v>
      </c>
      <c r="CR2" t="s">
        <v>196</v>
      </c>
      <c r="CS2" t="s">
        <v>196</v>
      </c>
      <c r="CT2" t="s">
        <v>196</v>
      </c>
      <c r="CU2" t="s">
        <v>196</v>
      </c>
      <c r="CV2" t="s">
        <v>196</v>
      </c>
      <c r="CW2" t="s">
        <v>196</v>
      </c>
      <c r="CX2" t="s">
        <v>196</v>
      </c>
      <c r="CY2" t="s">
        <v>196</v>
      </c>
      <c r="CZ2" t="s">
        <v>196</v>
      </c>
      <c r="DA2" t="s">
        <v>196</v>
      </c>
      <c r="DB2" t="s">
        <v>196</v>
      </c>
      <c r="DC2" t="s">
        <v>196</v>
      </c>
      <c r="DD2" t="s">
        <v>196</v>
      </c>
      <c r="DE2" t="s">
        <v>196</v>
      </c>
      <c r="DF2" t="s">
        <v>196</v>
      </c>
      <c r="DG2" t="s">
        <v>196</v>
      </c>
      <c r="DH2" t="s">
        <v>196</v>
      </c>
      <c r="DI2" t="s">
        <v>196</v>
      </c>
      <c r="DJ2" t="s">
        <v>196</v>
      </c>
      <c r="DK2" t="s">
        <v>196</v>
      </c>
      <c r="DL2" t="s">
        <v>196</v>
      </c>
      <c r="DM2" t="s">
        <v>196</v>
      </c>
      <c r="DN2" t="s">
        <v>196</v>
      </c>
      <c r="DO2" t="s">
        <v>196</v>
      </c>
      <c r="DP2" t="s">
        <v>196</v>
      </c>
      <c r="DQ2" t="s">
        <v>196</v>
      </c>
      <c r="DR2" t="s">
        <v>196</v>
      </c>
      <c r="DS2" t="s">
        <v>196</v>
      </c>
      <c r="DT2" t="s">
        <v>196</v>
      </c>
      <c r="DU2" t="s">
        <v>196</v>
      </c>
      <c r="DV2" t="s">
        <v>196</v>
      </c>
      <c r="DW2" t="s">
        <v>196</v>
      </c>
      <c r="DX2" t="s">
        <v>196</v>
      </c>
      <c r="DY2" t="s">
        <v>196</v>
      </c>
      <c r="DZ2" t="s">
        <v>196</v>
      </c>
      <c r="EA2" t="s">
        <v>196</v>
      </c>
      <c r="EB2" t="s">
        <v>196</v>
      </c>
      <c r="EC2" t="s">
        <v>196</v>
      </c>
      <c r="ED2" t="s">
        <v>196</v>
      </c>
      <c r="EE2" t="s">
        <v>196</v>
      </c>
      <c r="EF2" t="s">
        <v>196</v>
      </c>
      <c r="EG2" t="s">
        <v>196</v>
      </c>
      <c r="EH2" t="s">
        <v>196</v>
      </c>
      <c r="EI2" t="s">
        <v>196</v>
      </c>
      <c r="EJ2" t="s">
        <v>196</v>
      </c>
      <c r="EK2" t="s">
        <v>196</v>
      </c>
      <c r="EL2" t="s">
        <v>196</v>
      </c>
      <c r="EM2" t="s">
        <v>196</v>
      </c>
      <c r="EN2" t="s">
        <v>196</v>
      </c>
      <c r="EO2" t="s">
        <v>196</v>
      </c>
      <c r="EP2" s="5" t="str">
        <f t="shared" ref="EP2:EP33" si="0">IF(A2="Ongoing", "Active", "Inactive")</f>
        <v>Inactive</v>
      </c>
      <c r="EQ2" t="str">
        <f>VLOOKUP("M005", F2:G74, 2, FALSE)</f>
        <v>TINACTIN</v>
      </c>
    </row>
    <row r="3" spans="1:147">
      <c r="A3" t="s">
        <v>3</v>
      </c>
      <c r="B3" t="s">
        <v>197</v>
      </c>
      <c r="C3" t="s">
        <v>21</v>
      </c>
      <c r="D3" t="s">
        <v>172</v>
      </c>
      <c r="E3" t="s">
        <v>7</v>
      </c>
      <c r="F3" t="s">
        <v>196</v>
      </c>
      <c r="G3" t="s">
        <v>196</v>
      </c>
      <c r="H3" t="s">
        <v>196</v>
      </c>
      <c r="I3" t="s">
        <v>196</v>
      </c>
      <c r="J3" t="s">
        <v>196</v>
      </c>
      <c r="K3" t="s">
        <v>196</v>
      </c>
      <c r="L3" t="s">
        <v>196</v>
      </c>
      <c r="M3" t="s">
        <v>196</v>
      </c>
      <c r="N3" t="s">
        <v>196</v>
      </c>
      <c r="O3" t="s">
        <v>196</v>
      </c>
      <c r="P3" t="s">
        <v>196</v>
      </c>
      <c r="Q3" t="s">
        <v>196</v>
      </c>
      <c r="R3" t="s">
        <v>196</v>
      </c>
      <c r="S3" t="s">
        <v>196</v>
      </c>
      <c r="T3" t="s">
        <v>196</v>
      </c>
      <c r="U3" t="s">
        <v>196</v>
      </c>
      <c r="V3" t="s">
        <v>184</v>
      </c>
      <c r="W3">
        <v>95826</v>
      </c>
      <c r="X3" t="s">
        <v>198</v>
      </c>
      <c r="Y3" t="s">
        <v>199</v>
      </c>
      <c r="Z3" t="s">
        <v>196</v>
      </c>
      <c r="AA3" t="s">
        <v>200</v>
      </c>
      <c r="AB3" t="s">
        <v>188</v>
      </c>
      <c r="AC3" t="s">
        <v>201</v>
      </c>
      <c r="AD3" t="s">
        <v>202</v>
      </c>
      <c r="AE3" t="s">
        <v>203</v>
      </c>
      <c r="AF3" t="s">
        <v>204</v>
      </c>
      <c r="AG3" t="s">
        <v>196</v>
      </c>
      <c r="AH3" t="s">
        <v>205</v>
      </c>
      <c r="AI3">
        <v>20241106</v>
      </c>
      <c r="AJ3">
        <v>20241202</v>
      </c>
      <c r="AK3" t="s">
        <v>196</v>
      </c>
      <c r="AL3">
        <v>20241211</v>
      </c>
      <c r="AM3" t="s">
        <v>206</v>
      </c>
      <c r="AN3" t="s">
        <v>196</v>
      </c>
      <c r="AO3" t="s">
        <v>196</v>
      </c>
      <c r="AP3" t="s">
        <v>196</v>
      </c>
      <c r="AQ3" t="s">
        <v>196</v>
      </c>
      <c r="AR3" t="s">
        <v>196</v>
      </c>
      <c r="AS3" t="s">
        <v>196</v>
      </c>
      <c r="AT3" t="s">
        <v>196</v>
      </c>
      <c r="AU3" t="s">
        <v>196</v>
      </c>
      <c r="AV3" t="s">
        <v>196</v>
      </c>
      <c r="AW3" t="s">
        <v>196</v>
      </c>
      <c r="AX3" t="s">
        <v>196</v>
      </c>
      <c r="AY3" t="s">
        <v>196</v>
      </c>
      <c r="AZ3" t="s">
        <v>196</v>
      </c>
      <c r="BA3" t="s">
        <v>196</v>
      </c>
      <c r="BB3" t="s">
        <v>196</v>
      </c>
      <c r="BC3" t="s">
        <v>196</v>
      </c>
      <c r="BD3" t="s">
        <v>196</v>
      </c>
      <c r="BE3" t="s">
        <v>196</v>
      </c>
      <c r="BF3" t="s">
        <v>196</v>
      </c>
      <c r="BG3" t="s">
        <v>196</v>
      </c>
      <c r="BH3" t="s">
        <v>196</v>
      </c>
      <c r="BI3" t="s">
        <v>196</v>
      </c>
      <c r="BJ3" t="s">
        <v>196</v>
      </c>
      <c r="BK3" t="s">
        <v>196</v>
      </c>
      <c r="BL3" t="s">
        <v>196</v>
      </c>
      <c r="BM3" t="s">
        <v>196</v>
      </c>
      <c r="BN3" t="s">
        <v>196</v>
      </c>
      <c r="BO3" t="s">
        <v>196</v>
      </c>
      <c r="BP3" t="s">
        <v>196</v>
      </c>
      <c r="BQ3" t="s">
        <v>196</v>
      </c>
      <c r="BR3" t="s">
        <v>196</v>
      </c>
      <c r="BS3" t="s">
        <v>196</v>
      </c>
      <c r="BT3" t="s">
        <v>196</v>
      </c>
      <c r="BU3" t="s">
        <v>196</v>
      </c>
      <c r="BV3" t="s">
        <v>196</v>
      </c>
      <c r="BW3" t="s">
        <v>196</v>
      </c>
      <c r="BX3" t="s">
        <v>196</v>
      </c>
      <c r="BY3" t="s">
        <v>196</v>
      </c>
      <c r="BZ3" t="s">
        <v>196</v>
      </c>
      <c r="CA3" t="s">
        <v>196</v>
      </c>
      <c r="CB3" t="s">
        <v>196</v>
      </c>
      <c r="CC3" t="s">
        <v>196</v>
      </c>
      <c r="CD3" t="s">
        <v>196</v>
      </c>
      <c r="CE3" t="s">
        <v>196</v>
      </c>
      <c r="CF3" t="s">
        <v>196</v>
      </c>
      <c r="CG3" t="s">
        <v>196</v>
      </c>
      <c r="CH3" t="s">
        <v>196</v>
      </c>
      <c r="CI3" t="s">
        <v>196</v>
      </c>
      <c r="CJ3" t="s">
        <v>196</v>
      </c>
      <c r="CK3" t="s">
        <v>196</v>
      </c>
      <c r="CL3" t="s">
        <v>196</v>
      </c>
      <c r="CM3" t="s">
        <v>196</v>
      </c>
      <c r="CN3" t="s">
        <v>196</v>
      </c>
      <c r="CO3" t="s">
        <v>196</v>
      </c>
      <c r="CP3" t="s">
        <v>196</v>
      </c>
      <c r="CQ3" t="s">
        <v>196</v>
      </c>
      <c r="CR3" t="s">
        <v>196</v>
      </c>
      <c r="CS3" t="s">
        <v>196</v>
      </c>
      <c r="CT3" t="s">
        <v>196</v>
      </c>
      <c r="CU3" t="s">
        <v>196</v>
      </c>
      <c r="CV3" t="s">
        <v>196</v>
      </c>
      <c r="CW3" t="s">
        <v>196</v>
      </c>
      <c r="CX3" t="s">
        <v>196</v>
      </c>
      <c r="CY3" t="s">
        <v>196</v>
      </c>
      <c r="CZ3" t="s">
        <v>196</v>
      </c>
      <c r="DA3" t="s">
        <v>196</v>
      </c>
      <c r="DB3" t="s">
        <v>196</v>
      </c>
      <c r="DC3" t="s">
        <v>196</v>
      </c>
      <c r="DD3" t="s">
        <v>196</v>
      </c>
      <c r="DE3" t="s">
        <v>196</v>
      </c>
      <c r="DF3" t="s">
        <v>196</v>
      </c>
      <c r="DG3" t="s">
        <v>196</v>
      </c>
      <c r="DH3" t="s">
        <v>196</v>
      </c>
      <c r="DI3" t="s">
        <v>196</v>
      </c>
      <c r="DJ3" t="s">
        <v>196</v>
      </c>
      <c r="DK3" t="s">
        <v>196</v>
      </c>
      <c r="DL3" t="s">
        <v>196</v>
      </c>
      <c r="DM3" t="s">
        <v>196</v>
      </c>
      <c r="DN3" t="s">
        <v>196</v>
      </c>
      <c r="DO3" t="s">
        <v>196</v>
      </c>
      <c r="DP3" t="s">
        <v>196</v>
      </c>
      <c r="DQ3" t="s">
        <v>196</v>
      </c>
      <c r="DR3" t="s">
        <v>196</v>
      </c>
      <c r="DS3" t="s">
        <v>196</v>
      </c>
      <c r="DT3" t="s">
        <v>196</v>
      </c>
      <c r="DU3" t="s">
        <v>196</v>
      </c>
      <c r="DV3" t="s">
        <v>196</v>
      </c>
      <c r="DW3" t="s">
        <v>196</v>
      </c>
      <c r="DX3" t="s">
        <v>196</v>
      </c>
      <c r="DY3" t="s">
        <v>196</v>
      </c>
      <c r="DZ3" t="s">
        <v>196</v>
      </c>
      <c r="EA3" t="s">
        <v>196</v>
      </c>
      <c r="EB3" t="s">
        <v>196</v>
      </c>
      <c r="EC3" t="s">
        <v>196</v>
      </c>
      <c r="ED3" t="s">
        <v>196</v>
      </c>
      <c r="EE3" t="s">
        <v>196</v>
      </c>
      <c r="EF3" t="s">
        <v>196</v>
      </c>
      <c r="EG3" t="s">
        <v>196</v>
      </c>
      <c r="EH3" t="s">
        <v>196</v>
      </c>
      <c r="EI3" t="s">
        <v>196</v>
      </c>
      <c r="EJ3" t="s">
        <v>196</v>
      </c>
      <c r="EK3" t="s">
        <v>196</v>
      </c>
      <c r="EL3" t="s">
        <v>196</v>
      </c>
      <c r="EM3" t="s">
        <v>196</v>
      </c>
      <c r="EN3" t="s">
        <v>196</v>
      </c>
      <c r="EO3" t="s">
        <v>196</v>
      </c>
      <c r="EP3" t="str">
        <f t="shared" si="0"/>
        <v>Active</v>
      </c>
      <c r="EQ3" t="str">
        <f>_xlfn.XLOOKUP("M005", F2:F74, A2:A74, "Not Found")</f>
        <v>Terminated</v>
      </c>
    </row>
    <row r="4" spans="1:147">
      <c r="A4" t="s">
        <v>3</v>
      </c>
      <c r="B4" t="s">
        <v>207</v>
      </c>
      <c r="C4" t="s">
        <v>18</v>
      </c>
      <c r="D4" t="s">
        <v>172</v>
      </c>
      <c r="E4" t="s">
        <v>7</v>
      </c>
      <c r="F4" t="s">
        <v>208</v>
      </c>
      <c r="G4" t="s">
        <v>209</v>
      </c>
      <c r="H4" t="s">
        <v>209</v>
      </c>
      <c r="I4" t="s">
        <v>210</v>
      </c>
      <c r="J4" t="s">
        <v>211</v>
      </c>
      <c r="K4" t="s">
        <v>212</v>
      </c>
      <c r="L4" t="s">
        <v>213</v>
      </c>
      <c r="M4" t="s">
        <v>214</v>
      </c>
      <c r="N4">
        <v>432400</v>
      </c>
      <c r="O4">
        <v>432401</v>
      </c>
      <c r="P4" t="s">
        <v>215</v>
      </c>
      <c r="Q4" s="1" t="s">
        <v>216</v>
      </c>
      <c r="R4" t="s">
        <v>217</v>
      </c>
      <c r="S4" t="b">
        <v>1</v>
      </c>
      <c r="T4" t="s">
        <v>218</v>
      </c>
      <c r="U4" t="s">
        <v>196</v>
      </c>
      <c r="V4" t="s">
        <v>184</v>
      </c>
      <c r="W4">
        <v>95730</v>
      </c>
      <c r="X4" t="s">
        <v>219</v>
      </c>
      <c r="Y4" t="s">
        <v>220</v>
      </c>
      <c r="Z4" t="s">
        <v>196</v>
      </c>
      <c r="AA4" t="s">
        <v>221</v>
      </c>
      <c r="AB4" t="s">
        <v>188</v>
      </c>
      <c r="AC4" t="s">
        <v>201</v>
      </c>
      <c r="AD4" t="s">
        <v>222</v>
      </c>
      <c r="AE4" t="s">
        <v>223</v>
      </c>
      <c r="AF4" t="s">
        <v>224</v>
      </c>
      <c r="AG4" t="s">
        <v>225</v>
      </c>
      <c r="AH4" t="s">
        <v>226</v>
      </c>
      <c r="AI4">
        <v>20241107</v>
      </c>
      <c r="AJ4">
        <v>20241129</v>
      </c>
      <c r="AK4" t="s">
        <v>196</v>
      </c>
      <c r="AL4">
        <v>20241211</v>
      </c>
      <c r="AM4" t="s">
        <v>227</v>
      </c>
      <c r="AN4" t="s">
        <v>196</v>
      </c>
      <c r="AO4" t="s">
        <v>228</v>
      </c>
      <c r="AP4" t="s">
        <v>229</v>
      </c>
      <c r="AQ4">
        <v>432402</v>
      </c>
      <c r="AR4" t="s">
        <v>230</v>
      </c>
      <c r="AS4" t="s">
        <v>231</v>
      </c>
      <c r="AT4" t="s">
        <v>232</v>
      </c>
      <c r="AU4" t="s">
        <v>233</v>
      </c>
      <c r="AV4" t="s">
        <v>234</v>
      </c>
      <c r="AW4" t="s">
        <v>235</v>
      </c>
      <c r="AX4" t="s">
        <v>236</v>
      </c>
      <c r="AY4" t="s">
        <v>237</v>
      </c>
      <c r="AZ4" t="s">
        <v>238</v>
      </c>
      <c r="BA4" t="s">
        <v>239</v>
      </c>
      <c r="BB4" t="s">
        <v>240</v>
      </c>
      <c r="BC4" t="s">
        <v>196</v>
      </c>
      <c r="BD4" t="s">
        <v>196</v>
      </c>
      <c r="BE4" t="s">
        <v>196</v>
      </c>
      <c r="BF4" t="s">
        <v>196</v>
      </c>
      <c r="BG4" t="s">
        <v>196</v>
      </c>
      <c r="BH4" t="s">
        <v>196</v>
      </c>
      <c r="BI4" t="s">
        <v>196</v>
      </c>
      <c r="BJ4" t="s">
        <v>196</v>
      </c>
      <c r="BK4" t="s">
        <v>196</v>
      </c>
      <c r="BL4" t="s">
        <v>196</v>
      </c>
      <c r="BM4" t="s">
        <v>196</v>
      </c>
      <c r="BN4" t="s">
        <v>196</v>
      </c>
      <c r="BO4" t="s">
        <v>196</v>
      </c>
      <c r="BP4" t="s">
        <v>196</v>
      </c>
      <c r="BQ4" t="s">
        <v>196</v>
      </c>
      <c r="BR4" t="s">
        <v>196</v>
      </c>
      <c r="BS4" t="s">
        <v>196</v>
      </c>
      <c r="BT4" t="s">
        <v>196</v>
      </c>
      <c r="BU4" t="s">
        <v>196</v>
      </c>
      <c r="BV4" t="s">
        <v>196</v>
      </c>
      <c r="BW4" t="s">
        <v>196</v>
      </c>
      <c r="BX4" t="s">
        <v>196</v>
      </c>
      <c r="BY4" t="s">
        <v>196</v>
      </c>
      <c r="BZ4" t="s">
        <v>196</v>
      </c>
      <c r="CA4" t="s">
        <v>196</v>
      </c>
      <c r="CB4" t="s">
        <v>196</v>
      </c>
      <c r="CC4" t="s">
        <v>196</v>
      </c>
      <c r="CD4" t="s">
        <v>196</v>
      </c>
      <c r="CE4" t="s">
        <v>196</v>
      </c>
      <c r="CF4" t="s">
        <v>196</v>
      </c>
      <c r="CG4" t="s">
        <v>196</v>
      </c>
      <c r="CH4" t="s">
        <v>196</v>
      </c>
      <c r="CI4" t="s">
        <v>196</v>
      </c>
      <c r="CJ4" t="s">
        <v>196</v>
      </c>
      <c r="CK4" t="s">
        <v>196</v>
      </c>
      <c r="CL4" t="s">
        <v>196</v>
      </c>
      <c r="CM4" t="s">
        <v>196</v>
      </c>
      <c r="CN4" t="s">
        <v>196</v>
      </c>
      <c r="CO4" t="s">
        <v>196</v>
      </c>
      <c r="CP4" t="s">
        <v>196</v>
      </c>
      <c r="CQ4" t="s">
        <v>196</v>
      </c>
      <c r="CR4" t="s">
        <v>196</v>
      </c>
      <c r="CS4" t="s">
        <v>196</v>
      </c>
      <c r="CT4" t="s">
        <v>196</v>
      </c>
      <c r="CU4" t="s">
        <v>196</v>
      </c>
      <c r="CV4" t="s">
        <v>196</v>
      </c>
      <c r="CW4" t="s">
        <v>196</v>
      </c>
      <c r="CX4" t="s">
        <v>196</v>
      </c>
      <c r="CY4" t="s">
        <v>196</v>
      </c>
      <c r="CZ4" t="s">
        <v>196</v>
      </c>
      <c r="DA4" t="s">
        <v>196</v>
      </c>
      <c r="DB4" t="s">
        <v>196</v>
      </c>
      <c r="DC4" t="s">
        <v>196</v>
      </c>
      <c r="DD4" t="s">
        <v>196</v>
      </c>
      <c r="DE4" t="s">
        <v>196</v>
      </c>
      <c r="DF4" t="s">
        <v>196</v>
      </c>
      <c r="DG4" t="s">
        <v>196</v>
      </c>
      <c r="DH4" t="s">
        <v>196</v>
      </c>
      <c r="DI4" t="s">
        <v>196</v>
      </c>
      <c r="DJ4" t="s">
        <v>196</v>
      </c>
      <c r="DK4" t="s">
        <v>196</v>
      </c>
      <c r="DL4" t="s">
        <v>196</v>
      </c>
      <c r="DM4" t="s">
        <v>196</v>
      </c>
      <c r="DN4" t="s">
        <v>196</v>
      </c>
      <c r="DO4" t="s">
        <v>196</v>
      </c>
      <c r="DP4" t="s">
        <v>196</v>
      </c>
      <c r="DQ4" t="s">
        <v>196</v>
      </c>
      <c r="DR4" t="s">
        <v>196</v>
      </c>
      <c r="DS4" t="s">
        <v>196</v>
      </c>
      <c r="DT4" t="s">
        <v>196</v>
      </c>
      <c r="DU4" t="s">
        <v>196</v>
      </c>
      <c r="DV4" t="s">
        <v>196</v>
      </c>
      <c r="DW4" t="s">
        <v>196</v>
      </c>
      <c r="DX4" t="s">
        <v>196</v>
      </c>
      <c r="DY4" t="s">
        <v>196</v>
      </c>
      <c r="DZ4" t="s">
        <v>196</v>
      </c>
      <c r="EA4" t="s">
        <v>196</v>
      </c>
      <c r="EB4" t="s">
        <v>196</v>
      </c>
      <c r="EC4" t="s">
        <v>196</v>
      </c>
      <c r="ED4" t="s">
        <v>196</v>
      </c>
      <c r="EE4" t="s">
        <v>196</v>
      </c>
      <c r="EF4" t="s">
        <v>196</v>
      </c>
      <c r="EG4" t="s">
        <v>196</v>
      </c>
      <c r="EH4" t="s">
        <v>196</v>
      </c>
      <c r="EI4" t="s">
        <v>196</v>
      </c>
      <c r="EJ4" t="s">
        <v>196</v>
      </c>
      <c r="EK4" t="s">
        <v>196</v>
      </c>
      <c r="EL4" t="s">
        <v>196</v>
      </c>
      <c r="EM4" t="s">
        <v>196</v>
      </c>
      <c r="EN4" t="s">
        <v>196</v>
      </c>
      <c r="EO4" t="s">
        <v>196</v>
      </c>
      <c r="EP4" t="str">
        <f t="shared" si="0"/>
        <v>Active</v>
      </c>
      <c r="EQ4" t="str">
        <f>INDEX(A2:A74, MATCH("M005", F2:F74, 0))</f>
        <v>Terminated</v>
      </c>
    </row>
    <row r="5" spans="1:147">
      <c r="A5" t="s">
        <v>4</v>
      </c>
      <c r="B5" t="s">
        <v>241</v>
      </c>
      <c r="C5" t="s">
        <v>12</v>
      </c>
      <c r="D5" t="s">
        <v>172</v>
      </c>
      <c r="E5" t="s">
        <v>7</v>
      </c>
      <c r="F5" t="s">
        <v>242</v>
      </c>
      <c r="G5" t="s">
        <v>243</v>
      </c>
      <c r="H5" t="s">
        <v>243</v>
      </c>
      <c r="I5" t="s">
        <v>244</v>
      </c>
      <c r="J5" t="s">
        <v>245</v>
      </c>
      <c r="K5" t="s">
        <v>212</v>
      </c>
      <c r="L5" t="s">
        <v>246</v>
      </c>
      <c r="M5" t="s">
        <v>247</v>
      </c>
      <c r="N5" t="s">
        <v>196</v>
      </c>
      <c r="O5" t="s">
        <v>196</v>
      </c>
      <c r="P5" t="s">
        <v>248</v>
      </c>
      <c r="Q5" t="s">
        <v>249</v>
      </c>
      <c r="R5" t="s">
        <v>250</v>
      </c>
      <c r="S5" t="b">
        <v>1</v>
      </c>
      <c r="T5" t="s">
        <v>251</v>
      </c>
      <c r="U5" t="s">
        <v>196</v>
      </c>
      <c r="V5" t="s">
        <v>184</v>
      </c>
      <c r="W5">
        <v>65300</v>
      </c>
      <c r="X5" t="s">
        <v>244</v>
      </c>
      <c r="Y5" t="s">
        <v>252</v>
      </c>
      <c r="Z5" t="s">
        <v>16</v>
      </c>
      <c r="AA5">
        <v>60045</v>
      </c>
      <c r="AB5" t="s">
        <v>188</v>
      </c>
      <c r="AC5" t="s">
        <v>201</v>
      </c>
      <c r="AD5" t="s">
        <v>253</v>
      </c>
      <c r="AE5" t="s">
        <v>254</v>
      </c>
      <c r="AF5" t="s">
        <v>255</v>
      </c>
      <c r="AG5" t="s">
        <v>256</v>
      </c>
      <c r="AH5" t="s">
        <v>257</v>
      </c>
      <c r="AI5">
        <v>20130520</v>
      </c>
      <c r="AJ5">
        <v>20130807</v>
      </c>
      <c r="AK5">
        <v>20141028</v>
      </c>
      <c r="AL5">
        <v>20130814</v>
      </c>
      <c r="AM5" t="s">
        <v>258</v>
      </c>
      <c r="AN5" t="s">
        <v>196</v>
      </c>
      <c r="AO5" t="s">
        <v>259</v>
      </c>
      <c r="AP5" t="s">
        <v>196</v>
      </c>
      <c r="AQ5" t="s">
        <v>196</v>
      </c>
      <c r="AR5" t="s">
        <v>260</v>
      </c>
      <c r="AS5" t="s">
        <v>261</v>
      </c>
      <c r="AT5" t="s">
        <v>196</v>
      </c>
      <c r="AU5" t="s">
        <v>196</v>
      </c>
      <c r="AV5" t="s">
        <v>196</v>
      </c>
      <c r="AW5" t="s">
        <v>196</v>
      </c>
      <c r="AX5" t="s">
        <v>196</v>
      </c>
      <c r="AY5" t="s">
        <v>196</v>
      </c>
      <c r="AZ5" t="s">
        <v>196</v>
      </c>
      <c r="BA5" t="s">
        <v>196</v>
      </c>
      <c r="BB5" t="s">
        <v>196</v>
      </c>
      <c r="BC5" t="s">
        <v>262</v>
      </c>
      <c r="BD5" t="s">
        <v>196</v>
      </c>
      <c r="BE5" t="s">
        <v>196</v>
      </c>
      <c r="BF5" t="s">
        <v>196</v>
      </c>
      <c r="BG5" t="s">
        <v>196</v>
      </c>
      <c r="BH5" t="s">
        <v>196</v>
      </c>
      <c r="BI5" t="s">
        <v>196</v>
      </c>
      <c r="BJ5" t="s">
        <v>196</v>
      </c>
      <c r="BK5" t="s">
        <v>196</v>
      </c>
      <c r="BL5" t="s">
        <v>196</v>
      </c>
      <c r="BM5" t="s">
        <v>196</v>
      </c>
      <c r="BN5" t="s">
        <v>196</v>
      </c>
      <c r="BO5" t="s">
        <v>196</v>
      </c>
      <c r="BP5" t="s">
        <v>196</v>
      </c>
      <c r="BQ5" t="s">
        <v>196</v>
      </c>
      <c r="BR5" t="s">
        <v>196</v>
      </c>
      <c r="BS5" t="s">
        <v>196</v>
      </c>
      <c r="BT5" t="s">
        <v>196</v>
      </c>
      <c r="BU5" t="s">
        <v>196</v>
      </c>
      <c r="BV5" t="s">
        <v>196</v>
      </c>
      <c r="BW5" t="s">
        <v>196</v>
      </c>
      <c r="BX5" t="s">
        <v>196</v>
      </c>
      <c r="BY5" t="s">
        <v>196</v>
      </c>
      <c r="BZ5" t="s">
        <v>196</v>
      </c>
      <c r="CA5" t="s">
        <v>196</v>
      </c>
      <c r="CB5" t="s">
        <v>196</v>
      </c>
      <c r="CC5" t="s">
        <v>196</v>
      </c>
      <c r="CD5" t="s">
        <v>196</v>
      </c>
      <c r="CE5" t="s">
        <v>196</v>
      </c>
      <c r="CF5" t="s">
        <v>196</v>
      </c>
      <c r="CG5" t="s">
        <v>196</v>
      </c>
      <c r="CH5" t="s">
        <v>196</v>
      </c>
      <c r="CI5" t="s">
        <v>196</v>
      </c>
      <c r="CJ5" t="s">
        <v>196</v>
      </c>
      <c r="CK5" t="s">
        <v>196</v>
      </c>
      <c r="CL5" t="s">
        <v>196</v>
      </c>
      <c r="CM5" t="s">
        <v>196</v>
      </c>
      <c r="CN5" t="s">
        <v>196</v>
      </c>
      <c r="CO5" t="s">
        <v>196</v>
      </c>
      <c r="CP5" t="s">
        <v>196</v>
      </c>
      <c r="CQ5" t="s">
        <v>196</v>
      </c>
      <c r="CR5" t="s">
        <v>196</v>
      </c>
      <c r="CS5" t="s">
        <v>196</v>
      </c>
      <c r="CT5" t="s">
        <v>196</v>
      </c>
      <c r="CU5" t="s">
        <v>196</v>
      </c>
      <c r="CV5" t="s">
        <v>196</v>
      </c>
      <c r="CW5" t="s">
        <v>196</v>
      </c>
      <c r="CX5" t="s">
        <v>196</v>
      </c>
      <c r="CY5" t="s">
        <v>196</v>
      </c>
      <c r="CZ5" t="s">
        <v>196</v>
      </c>
      <c r="DA5" t="s">
        <v>196</v>
      </c>
      <c r="DB5" t="s">
        <v>196</v>
      </c>
      <c r="DC5" t="s">
        <v>196</v>
      </c>
      <c r="DD5" t="s">
        <v>196</v>
      </c>
      <c r="DE5" t="s">
        <v>196</v>
      </c>
      <c r="DF5" t="s">
        <v>196</v>
      </c>
      <c r="DG5" t="s">
        <v>196</v>
      </c>
      <c r="DH5" t="s">
        <v>196</v>
      </c>
      <c r="DI5" t="s">
        <v>196</v>
      </c>
      <c r="DJ5" t="s">
        <v>196</v>
      </c>
      <c r="DK5" t="s">
        <v>196</v>
      </c>
      <c r="DL5" t="s">
        <v>196</v>
      </c>
      <c r="DM5" t="s">
        <v>196</v>
      </c>
      <c r="DN5" t="s">
        <v>196</v>
      </c>
      <c r="DO5" t="s">
        <v>196</v>
      </c>
      <c r="DP5" t="s">
        <v>196</v>
      </c>
      <c r="DQ5" t="s">
        <v>196</v>
      </c>
      <c r="DR5" t="s">
        <v>196</v>
      </c>
      <c r="DS5" t="s">
        <v>196</v>
      </c>
      <c r="DT5" t="s">
        <v>196</v>
      </c>
      <c r="DU5" t="s">
        <v>196</v>
      </c>
      <c r="DV5" t="s">
        <v>196</v>
      </c>
      <c r="DW5" t="s">
        <v>196</v>
      </c>
      <c r="DX5" t="s">
        <v>196</v>
      </c>
      <c r="DY5" t="s">
        <v>196</v>
      </c>
      <c r="DZ5" t="s">
        <v>196</v>
      </c>
      <c r="EA5" t="s">
        <v>196</v>
      </c>
      <c r="EB5" t="s">
        <v>196</v>
      </c>
      <c r="EC5" t="s">
        <v>196</v>
      </c>
      <c r="ED5" t="s">
        <v>196</v>
      </c>
      <c r="EE5" t="s">
        <v>196</v>
      </c>
      <c r="EF5" t="s">
        <v>196</v>
      </c>
      <c r="EG5" t="s">
        <v>196</v>
      </c>
      <c r="EH5" t="s">
        <v>196</v>
      </c>
      <c r="EI5" t="s">
        <v>196</v>
      </c>
      <c r="EJ5" t="s">
        <v>196</v>
      </c>
      <c r="EK5" t="s">
        <v>196</v>
      </c>
      <c r="EL5" t="s">
        <v>196</v>
      </c>
      <c r="EM5" t="s">
        <v>196</v>
      </c>
      <c r="EN5" t="s">
        <v>196</v>
      </c>
      <c r="EO5" t="s">
        <v>196</v>
      </c>
      <c r="EP5" t="str">
        <f t="shared" si="0"/>
        <v>Inactive</v>
      </c>
    </row>
    <row r="6" spans="1:147">
      <c r="A6" t="s">
        <v>4</v>
      </c>
      <c r="B6" t="s">
        <v>171</v>
      </c>
      <c r="C6" t="s">
        <v>18</v>
      </c>
      <c r="D6" t="s">
        <v>172</v>
      </c>
      <c r="E6" t="s">
        <v>7</v>
      </c>
      <c r="F6" t="s">
        <v>173</v>
      </c>
      <c r="G6" t="s">
        <v>174</v>
      </c>
      <c r="H6" t="s">
        <v>175</v>
      </c>
      <c r="I6" t="s">
        <v>176</v>
      </c>
      <c r="J6" t="s">
        <v>263</v>
      </c>
      <c r="K6" t="s">
        <v>178</v>
      </c>
      <c r="L6" t="s">
        <v>179</v>
      </c>
      <c r="M6" t="s">
        <v>175</v>
      </c>
      <c r="N6">
        <v>705934</v>
      </c>
      <c r="O6">
        <v>705936</v>
      </c>
      <c r="P6" t="s">
        <v>264</v>
      </c>
      <c r="Q6" t="s">
        <v>265</v>
      </c>
      <c r="R6" t="s">
        <v>266</v>
      </c>
      <c r="S6" t="b">
        <v>1</v>
      </c>
      <c r="T6" t="s">
        <v>183</v>
      </c>
      <c r="U6" s="1">
        <v>311000000000</v>
      </c>
      <c r="V6" t="s">
        <v>184</v>
      </c>
      <c r="W6">
        <v>88677</v>
      </c>
      <c r="X6" t="s">
        <v>185</v>
      </c>
      <c r="Y6" t="s">
        <v>186</v>
      </c>
      <c r="Z6" t="s">
        <v>16</v>
      </c>
      <c r="AA6" t="s">
        <v>187</v>
      </c>
      <c r="AB6" t="s">
        <v>188</v>
      </c>
      <c r="AC6" t="s">
        <v>189</v>
      </c>
      <c r="AD6" t="s">
        <v>190</v>
      </c>
      <c r="AE6" t="s">
        <v>267</v>
      </c>
      <c r="AF6" t="s">
        <v>268</v>
      </c>
      <c r="AG6" t="s">
        <v>269</v>
      </c>
      <c r="AH6" t="s">
        <v>270</v>
      </c>
      <c r="AI6">
        <v>20211001</v>
      </c>
      <c r="AJ6">
        <v>20211118</v>
      </c>
      <c r="AK6">
        <v>20230626</v>
      </c>
      <c r="AL6">
        <v>20211124</v>
      </c>
      <c r="AM6" t="s">
        <v>271</v>
      </c>
      <c r="AN6" t="s">
        <v>196</v>
      </c>
      <c r="AO6" t="s">
        <v>196</v>
      </c>
      <c r="AP6" t="s">
        <v>196</v>
      </c>
      <c r="AQ6" t="s">
        <v>196</v>
      </c>
      <c r="AR6" t="s">
        <v>272</v>
      </c>
      <c r="AS6" t="s">
        <v>196</v>
      </c>
      <c r="AT6" t="s">
        <v>196</v>
      </c>
      <c r="AU6" t="s">
        <v>196</v>
      </c>
      <c r="AV6" t="s">
        <v>196</v>
      </c>
      <c r="AW6" t="s">
        <v>196</v>
      </c>
      <c r="AX6" t="s">
        <v>196</v>
      </c>
      <c r="AY6" t="s">
        <v>196</v>
      </c>
      <c r="AZ6" t="s">
        <v>196</v>
      </c>
      <c r="BA6" t="s">
        <v>196</v>
      </c>
      <c r="BB6" t="s">
        <v>196</v>
      </c>
      <c r="BC6" t="s">
        <v>196</v>
      </c>
      <c r="BD6" s="1">
        <v>311000000000</v>
      </c>
      <c r="BE6" t="s">
        <v>196</v>
      </c>
      <c r="BF6" t="s">
        <v>196</v>
      </c>
      <c r="BG6" t="s">
        <v>196</v>
      </c>
      <c r="BH6" t="s">
        <v>196</v>
      </c>
      <c r="BI6" t="s">
        <v>196</v>
      </c>
      <c r="BJ6" t="s">
        <v>196</v>
      </c>
      <c r="BK6" t="s">
        <v>196</v>
      </c>
      <c r="BL6" t="s">
        <v>196</v>
      </c>
      <c r="BM6" t="s">
        <v>196</v>
      </c>
      <c r="BN6" t="s">
        <v>196</v>
      </c>
      <c r="BO6" t="s">
        <v>196</v>
      </c>
      <c r="BP6" t="s">
        <v>196</v>
      </c>
      <c r="BQ6" t="s">
        <v>196</v>
      </c>
      <c r="BR6" t="s">
        <v>196</v>
      </c>
      <c r="BS6" t="s">
        <v>196</v>
      </c>
      <c r="BT6" t="s">
        <v>196</v>
      </c>
      <c r="BU6" t="s">
        <v>196</v>
      </c>
      <c r="BV6" t="s">
        <v>196</v>
      </c>
      <c r="BW6" t="s">
        <v>196</v>
      </c>
      <c r="BX6" t="s">
        <v>196</v>
      </c>
      <c r="BY6" t="s">
        <v>196</v>
      </c>
      <c r="BZ6" t="s">
        <v>196</v>
      </c>
      <c r="CA6" t="s">
        <v>196</v>
      </c>
      <c r="CB6" t="s">
        <v>196</v>
      </c>
      <c r="CC6" t="s">
        <v>196</v>
      </c>
      <c r="CD6" t="s">
        <v>196</v>
      </c>
      <c r="CE6" t="s">
        <v>196</v>
      </c>
      <c r="CF6" t="s">
        <v>196</v>
      </c>
      <c r="CG6" t="s">
        <v>196</v>
      </c>
      <c r="CH6" t="s">
        <v>196</v>
      </c>
      <c r="CI6" t="s">
        <v>196</v>
      </c>
      <c r="CJ6" t="s">
        <v>196</v>
      </c>
      <c r="CK6" t="s">
        <v>196</v>
      </c>
      <c r="CL6" t="s">
        <v>196</v>
      </c>
      <c r="CM6" t="s">
        <v>196</v>
      </c>
      <c r="CN6" t="s">
        <v>196</v>
      </c>
      <c r="CO6" t="s">
        <v>196</v>
      </c>
      <c r="CP6" t="s">
        <v>196</v>
      </c>
      <c r="CQ6" t="s">
        <v>196</v>
      </c>
      <c r="CR6" t="s">
        <v>196</v>
      </c>
      <c r="CS6" t="s">
        <v>196</v>
      </c>
      <c r="CT6" t="s">
        <v>196</v>
      </c>
      <c r="CU6" t="s">
        <v>196</v>
      </c>
      <c r="CV6" t="s">
        <v>196</v>
      </c>
      <c r="CW6" t="s">
        <v>196</v>
      </c>
      <c r="CX6" t="s">
        <v>196</v>
      </c>
      <c r="CY6" t="s">
        <v>196</v>
      </c>
      <c r="CZ6" t="s">
        <v>196</v>
      </c>
      <c r="DA6" t="s">
        <v>196</v>
      </c>
      <c r="DB6" t="s">
        <v>196</v>
      </c>
      <c r="DC6" t="s">
        <v>196</v>
      </c>
      <c r="DD6" t="s">
        <v>196</v>
      </c>
      <c r="DE6" t="s">
        <v>196</v>
      </c>
      <c r="DF6" t="s">
        <v>196</v>
      </c>
      <c r="DG6" t="s">
        <v>196</v>
      </c>
      <c r="DH6" t="s">
        <v>196</v>
      </c>
      <c r="DI6" t="s">
        <v>196</v>
      </c>
      <c r="DJ6" t="s">
        <v>196</v>
      </c>
      <c r="DK6" t="s">
        <v>196</v>
      </c>
      <c r="DL6" t="s">
        <v>196</v>
      </c>
      <c r="DM6" t="s">
        <v>196</v>
      </c>
      <c r="DN6" t="s">
        <v>196</v>
      </c>
      <c r="DO6" t="s">
        <v>196</v>
      </c>
      <c r="DP6" t="s">
        <v>196</v>
      </c>
      <c r="DQ6" t="s">
        <v>196</v>
      </c>
      <c r="DR6" t="s">
        <v>196</v>
      </c>
      <c r="DS6" t="s">
        <v>196</v>
      </c>
      <c r="DT6" t="s">
        <v>196</v>
      </c>
      <c r="DU6" t="s">
        <v>196</v>
      </c>
      <c r="DV6" t="s">
        <v>196</v>
      </c>
      <c r="DW6" t="s">
        <v>196</v>
      </c>
      <c r="DX6" t="s">
        <v>196</v>
      </c>
      <c r="DY6" t="s">
        <v>196</v>
      </c>
      <c r="DZ6" t="s">
        <v>196</v>
      </c>
      <c r="EA6" t="s">
        <v>196</v>
      </c>
      <c r="EB6" t="s">
        <v>196</v>
      </c>
      <c r="EC6" t="s">
        <v>196</v>
      </c>
      <c r="ED6" t="s">
        <v>196</v>
      </c>
      <c r="EE6" t="s">
        <v>196</v>
      </c>
      <c r="EF6" t="s">
        <v>196</v>
      </c>
      <c r="EG6" t="s">
        <v>196</v>
      </c>
      <c r="EH6" t="s">
        <v>196</v>
      </c>
      <c r="EI6" t="s">
        <v>196</v>
      </c>
      <c r="EJ6" t="s">
        <v>196</v>
      </c>
      <c r="EK6" t="s">
        <v>196</v>
      </c>
      <c r="EL6" t="s">
        <v>196</v>
      </c>
      <c r="EM6" t="s">
        <v>196</v>
      </c>
      <c r="EN6" t="s">
        <v>196</v>
      </c>
      <c r="EO6" t="s">
        <v>196</v>
      </c>
      <c r="EP6" t="str">
        <f t="shared" si="0"/>
        <v>Inactive</v>
      </c>
    </row>
    <row r="7" spans="1:147">
      <c r="A7" t="s">
        <v>3</v>
      </c>
      <c r="B7" t="s">
        <v>273</v>
      </c>
      <c r="C7" t="s">
        <v>18</v>
      </c>
      <c r="D7" t="s">
        <v>172</v>
      </c>
      <c r="E7" t="s">
        <v>7</v>
      </c>
      <c r="F7" t="s">
        <v>274</v>
      </c>
      <c r="G7" t="s">
        <v>275</v>
      </c>
      <c r="H7" t="s">
        <v>275</v>
      </c>
      <c r="I7" t="s">
        <v>276</v>
      </c>
      <c r="J7" t="s">
        <v>277</v>
      </c>
      <c r="K7" t="s">
        <v>212</v>
      </c>
      <c r="L7" t="s">
        <v>213</v>
      </c>
      <c r="M7" t="s">
        <v>275</v>
      </c>
      <c r="N7">
        <v>830865</v>
      </c>
      <c r="O7">
        <v>830869</v>
      </c>
      <c r="P7" t="s">
        <v>278</v>
      </c>
      <c r="Q7" t="s">
        <v>279</v>
      </c>
      <c r="R7" t="s">
        <v>280</v>
      </c>
      <c r="S7" t="b">
        <v>1</v>
      </c>
      <c r="T7" t="s">
        <v>281</v>
      </c>
      <c r="U7" s="1">
        <v>368000000000</v>
      </c>
      <c r="V7" t="s">
        <v>184</v>
      </c>
      <c r="W7">
        <v>95660</v>
      </c>
      <c r="X7" t="s">
        <v>282</v>
      </c>
      <c r="Y7" t="s">
        <v>283</v>
      </c>
      <c r="Z7" t="s">
        <v>196</v>
      </c>
      <c r="AA7" t="s">
        <v>284</v>
      </c>
      <c r="AB7" t="s">
        <v>188</v>
      </c>
      <c r="AC7" t="s">
        <v>201</v>
      </c>
      <c r="AD7" t="s">
        <v>202</v>
      </c>
      <c r="AE7" t="s">
        <v>285</v>
      </c>
      <c r="AF7" t="s">
        <v>286</v>
      </c>
      <c r="AG7" t="s">
        <v>287</v>
      </c>
      <c r="AH7" t="s">
        <v>288</v>
      </c>
      <c r="AI7">
        <v>20241101</v>
      </c>
      <c r="AJ7">
        <v>20241203</v>
      </c>
      <c r="AK7" t="s">
        <v>196</v>
      </c>
      <c r="AL7">
        <v>20241211</v>
      </c>
      <c r="AM7" t="s">
        <v>289</v>
      </c>
      <c r="AN7" t="s">
        <v>196</v>
      </c>
      <c r="AO7" t="s">
        <v>290</v>
      </c>
      <c r="AP7" t="s">
        <v>291</v>
      </c>
      <c r="AQ7">
        <v>830872</v>
      </c>
      <c r="AR7" t="s">
        <v>292</v>
      </c>
      <c r="AS7" t="s">
        <v>293</v>
      </c>
      <c r="AT7" t="s">
        <v>196</v>
      </c>
      <c r="AU7" t="s">
        <v>196</v>
      </c>
      <c r="AV7" t="s">
        <v>196</v>
      </c>
      <c r="AW7" t="s">
        <v>196</v>
      </c>
      <c r="AX7" t="s">
        <v>196</v>
      </c>
      <c r="AY7" t="s">
        <v>196</v>
      </c>
      <c r="AZ7" t="s">
        <v>196</v>
      </c>
      <c r="BA7" t="s">
        <v>196</v>
      </c>
      <c r="BB7" t="s">
        <v>196</v>
      </c>
      <c r="BC7" t="s">
        <v>196</v>
      </c>
      <c r="BD7" s="1">
        <v>368000000000</v>
      </c>
      <c r="BE7" s="1">
        <v>368000000000</v>
      </c>
      <c r="BF7" t="s">
        <v>196</v>
      </c>
      <c r="BG7" t="s">
        <v>196</v>
      </c>
      <c r="BH7" t="s">
        <v>196</v>
      </c>
      <c r="BI7" t="s">
        <v>196</v>
      </c>
      <c r="BJ7" t="s">
        <v>196</v>
      </c>
      <c r="BK7" t="s">
        <v>196</v>
      </c>
      <c r="BL7" t="s">
        <v>196</v>
      </c>
      <c r="BM7" t="s">
        <v>196</v>
      </c>
      <c r="BN7" t="s">
        <v>196</v>
      </c>
      <c r="BO7" t="s">
        <v>196</v>
      </c>
      <c r="BP7" t="s">
        <v>196</v>
      </c>
      <c r="BQ7" t="s">
        <v>196</v>
      </c>
      <c r="BR7" t="s">
        <v>196</v>
      </c>
      <c r="BS7" t="s">
        <v>196</v>
      </c>
      <c r="BT7" t="s">
        <v>196</v>
      </c>
      <c r="BU7" t="s">
        <v>196</v>
      </c>
      <c r="BV7" t="s">
        <v>196</v>
      </c>
      <c r="BW7" t="s">
        <v>196</v>
      </c>
      <c r="BX7" t="s">
        <v>196</v>
      </c>
      <c r="BY7" t="s">
        <v>196</v>
      </c>
      <c r="BZ7" t="s">
        <v>196</v>
      </c>
      <c r="CA7" t="s">
        <v>196</v>
      </c>
      <c r="CB7" t="s">
        <v>196</v>
      </c>
      <c r="CC7" t="s">
        <v>196</v>
      </c>
      <c r="CD7" t="s">
        <v>196</v>
      </c>
      <c r="CE7" t="s">
        <v>196</v>
      </c>
      <c r="CF7" t="s">
        <v>196</v>
      </c>
      <c r="CG7" t="s">
        <v>196</v>
      </c>
      <c r="CH7" t="s">
        <v>196</v>
      </c>
      <c r="CI7" t="s">
        <v>196</v>
      </c>
      <c r="CJ7" t="s">
        <v>196</v>
      </c>
      <c r="CK7" t="s">
        <v>196</v>
      </c>
      <c r="CL7" t="s">
        <v>196</v>
      </c>
      <c r="CM7" t="s">
        <v>196</v>
      </c>
      <c r="CN7" t="s">
        <v>196</v>
      </c>
      <c r="CO7" t="s">
        <v>196</v>
      </c>
      <c r="CP7" t="s">
        <v>196</v>
      </c>
      <c r="CQ7" t="s">
        <v>196</v>
      </c>
      <c r="CR7" t="s">
        <v>196</v>
      </c>
      <c r="CS7" t="s">
        <v>196</v>
      </c>
      <c r="CT7" t="s">
        <v>196</v>
      </c>
      <c r="CU7" t="s">
        <v>196</v>
      </c>
      <c r="CV7" t="s">
        <v>196</v>
      </c>
      <c r="CW7" t="s">
        <v>196</v>
      </c>
      <c r="CX7" t="s">
        <v>196</v>
      </c>
      <c r="CY7" t="s">
        <v>196</v>
      </c>
      <c r="CZ7" t="s">
        <v>196</v>
      </c>
      <c r="DA7" t="s">
        <v>196</v>
      </c>
      <c r="DB7" t="s">
        <v>196</v>
      </c>
      <c r="DC7" t="s">
        <v>196</v>
      </c>
      <c r="DD7" t="s">
        <v>196</v>
      </c>
      <c r="DE7" t="s">
        <v>196</v>
      </c>
      <c r="DF7" t="s">
        <v>196</v>
      </c>
      <c r="DG7" t="s">
        <v>196</v>
      </c>
      <c r="DH7" t="s">
        <v>196</v>
      </c>
      <c r="DI7" t="s">
        <v>196</v>
      </c>
      <c r="DJ7" t="s">
        <v>196</v>
      </c>
      <c r="DK7" t="s">
        <v>196</v>
      </c>
      <c r="DL7" t="s">
        <v>196</v>
      </c>
      <c r="DM7" t="s">
        <v>196</v>
      </c>
      <c r="DN7" t="s">
        <v>196</v>
      </c>
      <c r="DO7" t="s">
        <v>196</v>
      </c>
      <c r="DP7" t="s">
        <v>196</v>
      </c>
      <c r="DQ7" t="s">
        <v>196</v>
      </c>
      <c r="DR7" t="s">
        <v>196</v>
      </c>
      <c r="DS7" t="s">
        <v>196</v>
      </c>
      <c r="DT7" t="s">
        <v>196</v>
      </c>
      <c r="DU7" t="s">
        <v>196</v>
      </c>
      <c r="DV7" t="s">
        <v>196</v>
      </c>
      <c r="DW7" t="s">
        <v>196</v>
      </c>
      <c r="DX7" t="s">
        <v>196</v>
      </c>
      <c r="DY7" t="s">
        <v>196</v>
      </c>
      <c r="DZ7" t="s">
        <v>196</v>
      </c>
      <c r="EA7" t="s">
        <v>196</v>
      </c>
      <c r="EB7" t="s">
        <v>196</v>
      </c>
      <c r="EC7" t="s">
        <v>196</v>
      </c>
      <c r="ED7" t="s">
        <v>196</v>
      </c>
      <c r="EE7" t="s">
        <v>196</v>
      </c>
      <c r="EF7" t="s">
        <v>196</v>
      </c>
      <c r="EG7" t="s">
        <v>196</v>
      </c>
      <c r="EH7" t="s">
        <v>196</v>
      </c>
      <c r="EI7" t="s">
        <v>196</v>
      </c>
      <c r="EJ7" t="s">
        <v>196</v>
      </c>
      <c r="EK7" t="s">
        <v>196</v>
      </c>
      <c r="EL7" t="s">
        <v>196</v>
      </c>
      <c r="EM7" t="s">
        <v>196</v>
      </c>
      <c r="EN7" t="s">
        <v>196</v>
      </c>
      <c r="EO7" t="s">
        <v>196</v>
      </c>
      <c r="EP7" t="str">
        <f t="shared" si="0"/>
        <v>Active</v>
      </c>
    </row>
    <row r="8" spans="1:147">
      <c r="A8" t="s">
        <v>4</v>
      </c>
      <c r="B8" t="s">
        <v>294</v>
      </c>
      <c r="C8" t="s">
        <v>17</v>
      </c>
      <c r="D8" t="s">
        <v>172</v>
      </c>
      <c r="E8" t="s">
        <v>8</v>
      </c>
      <c r="F8" t="s">
        <v>295</v>
      </c>
      <c r="G8" t="s">
        <v>296</v>
      </c>
      <c r="H8" t="s">
        <v>297</v>
      </c>
      <c r="I8" t="s">
        <v>298</v>
      </c>
      <c r="J8" t="s">
        <v>299</v>
      </c>
      <c r="K8" t="s">
        <v>178</v>
      </c>
      <c r="L8" t="s">
        <v>213</v>
      </c>
      <c r="M8" t="s">
        <v>297</v>
      </c>
      <c r="N8">
        <v>308892</v>
      </c>
      <c r="O8">
        <v>1044524</v>
      </c>
      <c r="P8" t="s">
        <v>300</v>
      </c>
      <c r="Q8" t="s">
        <v>301</v>
      </c>
      <c r="R8" t="s">
        <v>302</v>
      </c>
      <c r="S8" t="b">
        <v>1</v>
      </c>
      <c r="T8" t="s">
        <v>303</v>
      </c>
      <c r="U8" t="s">
        <v>196</v>
      </c>
      <c r="V8" t="s">
        <v>184</v>
      </c>
      <c r="W8">
        <v>65856</v>
      </c>
      <c r="X8" t="s">
        <v>304</v>
      </c>
      <c r="Y8" t="s">
        <v>305</v>
      </c>
      <c r="Z8" t="s">
        <v>16</v>
      </c>
      <c r="AA8" t="s">
        <v>306</v>
      </c>
      <c r="AB8" t="s">
        <v>188</v>
      </c>
      <c r="AC8" t="s">
        <v>201</v>
      </c>
      <c r="AD8" t="s">
        <v>307</v>
      </c>
      <c r="AE8" t="s">
        <v>308</v>
      </c>
      <c r="AF8" t="s">
        <v>309</v>
      </c>
      <c r="AG8" t="s">
        <v>310</v>
      </c>
      <c r="AH8" t="s">
        <v>311</v>
      </c>
      <c r="AI8">
        <v>20130718</v>
      </c>
      <c r="AJ8">
        <v>20130807</v>
      </c>
      <c r="AK8">
        <v>20160518</v>
      </c>
      <c r="AL8">
        <v>20130814</v>
      </c>
      <c r="AM8" t="s">
        <v>312</v>
      </c>
      <c r="AN8" t="s">
        <v>196</v>
      </c>
      <c r="AO8" t="s">
        <v>313</v>
      </c>
      <c r="AP8" t="s">
        <v>314</v>
      </c>
      <c r="AQ8" t="s">
        <v>196</v>
      </c>
      <c r="AR8" t="s">
        <v>315</v>
      </c>
      <c r="AS8" t="s">
        <v>316</v>
      </c>
      <c r="AT8" t="s">
        <v>317</v>
      </c>
      <c r="AU8" t="s">
        <v>318</v>
      </c>
      <c r="AV8" t="s">
        <v>319</v>
      </c>
      <c r="AW8" t="s">
        <v>320</v>
      </c>
      <c r="AX8" t="s">
        <v>321</v>
      </c>
      <c r="AY8" t="s">
        <v>322</v>
      </c>
      <c r="AZ8" t="s">
        <v>323</v>
      </c>
      <c r="BA8" t="s">
        <v>324</v>
      </c>
      <c r="BB8" t="s">
        <v>325</v>
      </c>
      <c r="BC8" t="s">
        <v>196</v>
      </c>
      <c r="BD8" t="s">
        <v>196</v>
      </c>
      <c r="BE8" t="s">
        <v>196</v>
      </c>
      <c r="BF8" t="s">
        <v>326</v>
      </c>
      <c r="BG8" t="s">
        <v>327</v>
      </c>
      <c r="BH8" t="s">
        <v>328</v>
      </c>
      <c r="BI8" t="s">
        <v>329</v>
      </c>
      <c r="BJ8" t="s">
        <v>330</v>
      </c>
      <c r="BK8" t="s">
        <v>331</v>
      </c>
      <c r="BL8" t="s">
        <v>332</v>
      </c>
      <c r="BM8" t="s">
        <v>333</v>
      </c>
      <c r="BN8" t="s">
        <v>334</v>
      </c>
      <c r="BO8" t="s">
        <v>335</v>
      </c>
      <c r="BP8" t="s">
        <v>196</v>
      </c>
      <c r="BQ8" t="s">
        <v>196</v>
      </c>
      <c r="BR8" t="s">
        <v>196</v>
      </c>
      <c r="BS8" t="s">
        <v>196</v>
      </c>
      <c r="BT8" t="s">
        <v>196</v>
      </c>
      <c r="BU8" t="s">
        <v>196</v>
      </c>
      <c r="BV8" t="s">
        <v>196</v>
      </c>
      <c r="BW8" t="s">
        <v>196</v>
      </c>
      <c r="BX8" t="s">
        <v>196</v>
      </c>
      <c r="BY8" t="s">
        <v>196</v>
      </c>
      <c r="BZ8" t="s">
        <v>196</v>
      </c>
      <c r="CA8" t="s">
        <v>196</v>
      </c>
      <c r="CB8" t="s">
        <v>196</v>
      </c>
      <c r="CC8" t="s">
        <v>196</v>
      </c>
      <c r="CD8" t="s">
        <v>196</v>
      </c>
      <c r="CE8" t="s">
        <v>196</v>
      </c>
      <c r="CF8" t="s">
        <v>196</v>
      </c>
      <c r="CG8" t="s">
        <v>196</v>
      </c>
      <c r="CH8" t="s">
        <v>196</v>
      </c>
      <c r="CI8" t="s">
        <v>196</v>
      </c>
      <c r="CJ8" t="s">
        <v>196</v>
      </c>
      <c r="CK8" t="s">
        <v>196</v>
      </c>
      <c r="CL8" t="s">
        <v>196</v>
      </c>
      <c r="CM8" t="s">
        <v>196</v>
      </c>
      <c r="CN8" t="s">
        <v>196</v>
      </c>
      <c r="CO8" t="s">
        <v>196</v>
      </c>
      <c r="CP8" t="s">
        <v>196</v>
      </c>
      <c r="CQ8" t="s">
        <v>196</v>
      </c>
      <c r="CR8" t="s">
        <v>196</v>
      </c>
      <c r="CS8" t="s">
        <v>196</v>
      </c>
      <c r="CT8" t="s">
        <v>196</v>
      </c>
      <c r="CU8" t="s">
        <v>196</v>
      </c>
      <c r="CV8" t="s">
        <v>196</v>
      </c>
      <c r="CW8" t="s">
        <v>196</v>
      </c>
      <c r="CX8" t="s">
        <v>196</v>
      </c>
      <c r="CY8" t="s">
        <v>196</v>
      </c>
      <c r="CZ8" t="s">
        <v>196</v>
      </c>
      <c r="DA8" t="s">
        <v>196</v>
      </c>
      <c r="DB8" t="s">
        <v>196</v>
      </c>
      <c r="DC8" t="s">
        <v>196</v>
      </c>
      <c r="DD8" t="s">
        <v>196</v>
      </c>
      <c r="DE8" t="s">
        <v>196</v>
      </c>
      <c r="DF8" t="s">
        <v>196</v>
      </c>
      <c r="DG8" t="s">
        <v>196</v>
      </c>
      <c r="DH8" t="s">
        <v>196</v>
      </c>
      <c r="DI8" t="s">
        <v>196</v>
      </c>
      <c r="DJ8" t="s">
        <v>196</v>
      </c>
      <c r="DK8" t="s">
        <v>196</v>
      </c>
      <c r="DL8" t="s">
        <v>196</v>
      </c>
      <c r="DM8" t="s">
        <v>196</v>
      </c>
      <c r="DN8" t="s">
        <v>196</v>
      </c>
      <c r="DO8" t="s">
        <v>196</v>
      </c>
      <c r="DP8" t="s">
        <v>196</v>
      </c>
      <c r="DQ8" t="s">
        <v>196</v>
      </c>
      <c r="DR8" t="s">
        <v>196</v>
      </c>
      <c r="DS8" t="s">
        <v>196</v>
      </c>
      <c r="DT8" t="s">
        <v>196</v>
      </c>
      <c r="DU8" t="s">
        <v>196</v>
      </c>
      <c r="DV8" t="s">
        <v>196</v>
      </c>
      <c r="DW8" t="s">
        <v>196</v>
      </c>
      <c r="DX8" t="s">
        <v>196</v>
      </c>
      <c r="DY8" t="s">
        <v>196</v>
      </c>
      <c r="DZ8" t="s">
        <v>196</v>
      </c>
      <c r="EA8" t="s">
        <v>196</v>
      </c>
      <c r="EB8" t="s">
        <v>196</v>
      </c>
      <c r="EC8" t="s">
        <v>196</v>
      </c>
      <c r="ED8" t="s">
        <v>196</v>
      </c>
      <c r="EE8" t="s">
        <v>196</v>
      </c>
      <c r="EF8" t="s">
        <v>196</v>
      </c>
      <c r="EG8" t="s">
        <v>196</v>
      </c>
      <c r="EH8" t="s">
        <v>196</v>
      </c>
      <c r="EI8" t="s">
        <v>196</v>
      </c>
      <c r="EJ8" t="s">
        <v>196</v>
      </c>
      <c r="EK8" t="s">
        <v>196</v>
      </c>
      <c r="EL8" t="s">
        <v>196</v>
      </c>
      <c r="EM8" t="s">
        <v>196</v>
      </c>
      <c r="EN8" t="s">
        <v>196</v>
      </c>
      <c r="EO8" t="s">
        <v>196</v>
      </c>
      <c r="EP8" t="str">
        <f t="shared" si="0"/>
        <v>Inactive</v>
      </c>
    </row>
    <row r="9" spans="1:147">
      <c r="A9" t="s">
        <v>4</v>
      </c>
      <c r="B9" t="s">
        <v>171</v>
      </c>
      <c r="C9" t="s">
        <v>18</v>
      </c>
      <c r="D9" t="s">
        <v>172</v>
      </c>
      <c r="E9" t="s">
        <v>7</v>
      </c>
      <c r="F9" t="s">
        <v>173</v>
      </c>
      <c r="G9" t="s">
        <v>336</v>
      </c>
      <c r="H9" t="s">
        <v>175</v>
      </c>
      <c r="I9" t="s">
        <v>176</v>
      </c>
      <c r="J9" t="s">
        <v>337</v>
      </c>
      <c r="K9" t="s">
        <v>178</v>
      </c>
      <c r="L9" t="s">
        <v>179</v>
      </c>
      <c r="M9" t="s">
        <v>175</v>
      </c>
      <c r="N9">
        <v>705934</v>
      </c>
      <c r="O9" t="s">
        <v>196</v>
      </c>
      <c r="P9" t="s">
        <v>338</v>
      </c>
      <c r="Q9" t="s">
        <v>339</v>
      </c>
      <c r="R9" t="s">
        <v>340</v>
      </c>
      <c r="S9" t="b">
        <v>1</v>
      </c>
      <c r="T9" t="s">
        <v>183</v>
      </c>
      <c r="U9">
        <v>41100587206</v>
      </c>
      <c r="V9" t="s">
        <v>184</v>
      </c>
      <c r="W9">
        <v>88677</v>
      </c>
      <c r="X9" t="s">
        <v>185</v>
      </c>
      <c r="Y9" t="s">
        <v>186</v>
      </c>
      <c r="Z9" t="s">
        <v>16</v>
      </c>
      <c r="AA9" t="s">
        <v>187</v>
      </c>
      <c r="AB9" t="s">
        <v>188</v>
      </c>
      <c r="AC9" t="s">
        <v>189</v>
      </c>
      <c r="AD9" t="s">
        <v>190</v>
      </c>
      <c r="AE9" t="s">
        <v>341</v>
      </c>
      <c r="AF9" t="s">
        <v>342</v>
      </c>
      <c r="AG9" t="s">
        <v>343</v>
      </c>
      <c r="AH9" t="s">
        <v>270</v>
      </c>
      <c r="AI9">
        <v>20211001</v>
      </c>
      <c r="AJ9">
        <v>20211118</v>
      </c>
      <c r="AK9">
        <v>20230626</v>
      </c>
      <c r="AL9">
        <v>20211124</v>
      </c>
      <c r="AM9" t="s">
        <v>344</v>
      </c>
      <c r="AN9" t="s">
        <v>196</v>
      </c>
      <c r="AO9" t="s">
        <v>196</v>
      </c>
      <c r="AP9" t="s">
        <v>196</v>
      </c>
      <c r="AQ9" t="s">
        <v>196</v>
      </c>
      <c r="AR9" t="s">
        <v>345</v>
      </c>
      <c r="AS9" t="s">
        <v>196</v>
      </c>
      <c r="AT9" t="s">
        <v>196</v>
      </c>
      <c r="AU9" t="s">
        <v>196</v>
      </c>
      <c r="AV9" t="s">
        <v>196</v>
      </c>
      <c r="AW9" t="s">
        <v>196</v>
      </c>
      <c r="AX9" t="s">
        <v>196</v>
      </c>
      <c r="AY9" t="s">
        <v>196</v>
      </c>
      <c r="AZ9" t="s">
        <v>196</v>
      </c>
      <c r="BA9" t="s">
        <v>196</v>
      </c>
      <c r="BB9" t="s">
        <v>196</v>
      </c>
      <c r="BC9" t="s">
        <v>196</v>
      </c>
      <c r="BD9">
        <v>41100589613</v>
      </c>
      <c r="BE9" t="s">
        <v>196</v>
      </c>
      <c r="BF9" t="s">
        <v>196</v>
      </c>
      <c r="BG9" t="s">
        <v>196</v>
      </c>
      <c r="BH9" t="s">
        <v>196</v>
      </c>
      <c r="BI9" t="s">
        <v>196</v>
      </c>
      <c r="BJ9" t="s">
        <v>196</v>
      </c>
      <c r="BK9" t="s">
        <v>196</v>
      </c>
      <c r="BL9" t="s">
        <v>196</v>
      </c>
      <c r="BM9" t="s">
        <v>196</v>
      </c>
      <c r="BN9" t="s">
        <v>196</v>
      </c>
      <c r="BO9" t="s">
        <v>196</v>
      </c>
      <c r="BP9" t="s">
        <v>196</v>
      </c>
      <c r="BQ9" t="s">
        <v>196</v>
      </c>
      <c r="BR9" t="s">
        <v>196</v>
      </c>
      <c r="BS9" t="s">
        <v>196</v>
      </c>
      <c r="BT9" t="s">
        <v>196</v>
      </c>
      <c r="BU9" t="s">
        <v>196</v>
      </c>
      <c r="BV9" t="s">
        <v>196</v>
      </c>
      <c r="BW9" t="s">
        <v>196</v>
      </c>
      <c r="BX9" t="s">
        <v>196</v>
      </c>
      <c r="BY9" t="s">
        <v>196</v>
      </c>
      <c r="BZ9" t="s">
        <v>196</v>
      </c>
      <c r="CA9" t="s">
        <v>196</v>
      </c>
      <c r="CB9" t="s">
        <v>196</v>
      </c>
      <c r="CC9" t="s">
        <v>196</v>
      </c>
      <c r="CD9" t="s">
        <v>196</v>
      </c>
      <c r="CE9" t="s">
        <v>196</v>
      </c>
      <c r="CF9" t="s">
        <v>196</v>
      </c>
      <c r="CG9" t="s">
        <v>196</v>
      </c>
      <c r="CH9" t="s">
        <v>196</v>
      </c>
      <c r="CI9" t="s">
        <v>196</v>
      </c>
      <c r="CJ9" t="s">
        <v>196</v>
      </c>
      <c r="CK9" t="s">
        <v>196</v>
      </c>
      <c r="CL9" t="s">
        <v>196</v>
      </c>
      <c r="CM9" t="s">
        <v>196</v>
      </c>
      <c r="CN9" t="s">
        <v>196</v>
      </c>
      <c r="CO9" t="s">
        <v>196</v>
      </c>
      <c r="CP9" t="s">
        <v>196</v>
      </c>
      <c r="CQ9" t="s">
        <v>196</v>
      </c>
      <c r="CR9" t="s">
        <v>196</v>
      </c>
      <c r="CS9" t="s">
        <v>196</v>
      </c>
      <c r="CT9" t="s">
        <v>196</v>
      </c>
      <c r="CU9" t="s">
        <v>196</v>
      </c>
      <c r="CV9" t="s">
        <v>196</v>
      </c>
      <c r="CW9" t="s">
        <v>196</v>
      </c>
      <c r="CX9" t="s">
        <v>196</v>
      </c>
      <c r="CY9" t="s">
        <v>196</v>
      </c>
      <c r="CZ9" t="s">
        <v>196</v>
      </c>
      <c r="DA9" t="s">
        <v>196</v>
      </c>
      <c r="DB9" t="s">
        <v>196</v>
      </c>
      <c r="DC9" t="s">
        <v>196</v>
      </c>
      <c r="DD9" t="s">
        <v>196</v>
      </c>
      <c r="DE9" t="s">
        <v>196</v>
      </c>
      <c r="DF9" t="s">
        <v>196</v>
      </c>
      <c r="DG9" t="s">
        <v>196</v>
      </c>
      <c r="DH9" t="s">
        <v>196</v>
      </c>
      <c r="DI9" t="s">
        <v>196</v>
      </c>
      <c r="DJ9" t="s">
        <v>196</v>
      </c>
      <c r="DK9" t="s">
        <v>196</v>
      </c>
      <c r="DL9" t="s">
        <v>196</v>
      </c>
      <c r="DM9" t="s">
        <v>196</v>
      </c>
      <c r="DN9" t="s">
        <v>196</v>
      </c>
      <c r="DO9" t="s">
        <v>196</v>
      </c>
      <c r="DP9" t="s">
        <v>196</v>
      </c>
      <c r="DQ9" t="s">
        <v>196</v>
      </c>
      <c r="DR9" t="s">
        <v>196</v>
      </c>
      <c r="DS9" t="s">
        <v>196</v>
      </c>
      <c r="DT9" t="s">
        <v>196</v>
      </c>
      <c r="DU9" t="s">
        <v>196</v>
      </c>
      <c r="DV9" t="s">
        <v>196</v>
      </c>
      <c r="DW9" t="s">
        <v>196</v>
      </c>
      <c r="DX9" t="s">
        <v>196</v>
      </c>
      <c r="DY9" t="s">
        <v>196</v>
      </c>
      <c r="DZ9" t="s">
        <v>196</v>
      </c>
      <c r="EA9" t="s">
        <v>196</v>
      </c>
      <c r="EB9" t="s">
        <v>196</v>
      </c>
      <c r="EC9" t="s">
        <v>196</v>
      </c>
      <c r="ED9" t="s">
        <v>196</v>
      </c>
      <c r="EE9" t="s">
        <v>196</v>
      </c>
      <c r="EF9" t="s">
        <v>196</v>
      </c>
      <c r="EG9" t="s">
        <v>196</v>
      </c>
      <c r="EH9" t="s">
        <v>196</v>
      </c>
      <c r="EI9" t="s">
        <v>196</v>
      </c>
      <c r="EJ9" t="s">
        <v>196</v>
      </c>
      <c r="EK9" t="s">
        <v>196</v>
      </c>
      <c r="EL9" t="s">
        <v>196</v>
      </c>
      <c r="EM9" t="s">
        <v>196</v>
      </c>
      <c r="EN9" t="s">
        <v>196</v>
      </c>
      <c r="EO9" t="s">
        <v>196</v>
      </c>
      <c r="EP9" t="str">
        <f t="shared" si="0"/>
        <v>Inactive</v>
      </c>
    </row>
    <row r="10" spans="1:147">
      <c r="A10" t="s">
        <v>3</v>
      </c>
      <c r="B10" t="s">
        <v>273</v>
      </c>
      <c r="C10" t="s">
        <v>18</v>
      </c>
      <c r="D10" t="s">
        <v>172</v>
      </c>
      <c r="E10" t="s">
        <v>7</v>
      </c>
      <c r="F10" t="s">
        <v>274</v>
      </c>
      <c r="G10" t="s">
        <v>275</v>
      </c>
      <c r="H10" t="s">
        <v>275</v>
      </c>
      <c r="I10" t="s">
        <v>346</v>
      </c>
      <c r="J10" t="s">
        <v>347</v>
      </c>
      <c r="K10" t="s">
        <v>212</v>
      </c>
      <c r="L10" t="s">
        <v>213</v>
      </c>
      <c r="M10" t="s">
        <v>275</v>
      </c>
      <c r="N10">
        <v>830865</v>
      </c>
      <c r="O10">
        <v>830869</v>
      </c>
      <c r="P10" t="s">
        <v>348</v>
      </c>
      <c r="Q10" t="s">
        <v>349</v>
      </c>
      <c r="R10" t="s">
        <v>350</v>
      </c>
      <c r="S10" t="b">
        <v>1</v>
      </c>
      <c r="T10" t="s">
        <v>281</v>
      </c>
      <c r="U10" s="1">
        <v>317000000000</v>
      </c>
      <c r="V10" t="s">
        <v>184</v>
      </c>
      <c r="W10">
        <v>95660</v>
      </c>
      <c r="X10" t="s">
        <v>282</v>
      </c>
      <c r="Y10" t="s">
        <v>283</v>
      </c>
      <c r="Z10" t="s">
        <v>196</v>
      </c>
      <c r="AA10" t="s">
        <v>284</v>
      </c>
      <c r="AB10" t="s">
        <v>188</v>
      </c>
      <c r="AC10" t="s">
        <v>201</v>
      </c>
      <c r="AD10" t="s">
        <v>202</v>
      </c>
      <c r="AE10" t="s">
        <v>351</v>
      </c>
      <c r="AF10" t="s">
        <v>352</v>
      </c>
      <c r="AG10" t="s">
        <v>353</v>
      </c>
      <c r="AH10" t="s">
        <v>288</v>
      </c>
      <c r="AI10">
        <v>20241101</v>
      </c>
      <c r="AJ10">
        <v>20241203</v>
      </c>
      <c r="AK10" t="s">
        <v>196</v>
      </c>
      <c r="AL10">
        <v>20241211</v>
      </c>
      <c r="AM10" t="s">
        <v>354</v>
      </c>
      <c r="AN10" t="s">
        <v>196</v>
      </c>
      <c r="AO10" t="s">
        <v>355</v>
      </c>
      <c r="AP10" t="s">
        <v>356</v>
      </c>
      <c r="AQ10">
        <v>830872</v>
      </c>
      <c r="AR10" t="s">
        <v>357</v>
      </c>
      <c r="AS10" t="s">
        <v>358</v>
      </c>
      <c r="AT10" t="s">
        <v>196</v>
      </c>
      <c r="AU10" t="s">
        <v>196</v>
      </c>
      <c r="AV10" t="s">
        <v>196</v>
      </c>
      <c r="AW10" t="s">
        <v>196</v>
      </c>
      <c r="AX10" t="s">
        <v>196</v>
      </c>
      <c r="AY10" t="s">
        <v>196</v>
      </c>
      <c r="AZ10" t="s">
        <v>196</v>
      </c>
      <c r="BA10" t="s">
        <v>196</v>
      </c>
      <c r="BB10" t="s">
        <v>196</v>
      </c>
      <c r="BC10" t="s">
        <v>196</v>
      </c>
      <c r="BD10" s="1">
        <v>317000000000</v>
      </c>
      <c r="BE10" s="1">
        <v>317000000000</v>
      </c>
      <c r="BF10" t="s">
        <v>196</v>
      </c>
      <c r="BG10" t="s">
        <v>196</v>
      </c>
      <c r="BH10" t="s">
        <v>196</v>
      </c>
      <c r="BI10" t="s">
        <v>196</v>
      </c>
      <c r="BJ10" t="s">
        <v>196</v>
      </c>
      <c r="BK10" t="s">
        <v>196</v>
      </c>
      <c r="BL10" t="s">
        <v>196</v>
      </c>
      <c r="BM10" t="s">
        <v>196</v>
      </c>
      <c r="BN10" t="s">
        <v>196</v>
      </c>
      <c r="BO10" t="s">
        <v>196</v>
      </c>
      <c r="BP10" t="s">
        <v>196</v>
      </c>
      <c r="BQ10" t="s">
        <v>196</v>
      </c>
      <c r="BR10" t="s">
        <v>196</v>
      </c>
      <c r="BS10" t="s">
        <v>196</v>
      </c>
      <c r="BT10" t="s">
        <v>196</v>
      </c>
      <c r="BU10" t="s">
        <v>196</v>
      </c>
      <c r="BV10" t="s">
        <v>196</v>
      </c>
      <c r="BW10" t="s">
        <v>196</v>
      </c>
      <c r="BX10" t="s">
        <v>196</v>
      </c>
      <c r="BY10" t="s">
        <v>196</v>
      </c>
      <c r="BZ10" t="s">
        <v>196</v>
      </c>
      <c r="CA10" t="s">
        <v>196</v>
      </c>
      <c r="CB10" t="s">
        <v>196</v>
      </c>
      <c r="CC10" t="s">
        <v>196</v>
      </c>
      <c r="CD10" t="s">
        <v>196</v>
      </c>
      <c r="CE10" t="s">
        <v>196</v>
      </c>
      <c r="CF10" t="s">
        <v>196</v>
      </c>
      <c r="CG10" t="s">
        <v>196</v>
      </c>
      <c r="CH10" t="s">
        <v>196</v>
      </c>
      <c r="CI10" t="s">
        <v>196</v>
      </c>
      <c r="CJ10" t="s">
        <v>196</v>
      </c>
      <c r="CK10" t="s">
        <v>196</v>
      </c>
      <c r="CL10" t="s">
        <v>196</v>
      </c>
      <c r="CM10" t="s">
        <v>196</v>
      </c>
      <c r="CN10" t="s">
        <v>196</v>
      </c>
      <c r="CO10" t="s">
        <v>196</v>
      </c>
      <c r="CP10" t="s">
        <v>196</v>
      </c>
      <c r="CQ10" t="s">
        <v>196</v>
      </c>
      <c r="CR10" t="s">
        <v>196</v>
      </c>
      <c r="CS10" t="s">
        <v>196</v>
      </c>
      <c r="CT10" t="s">
        <v>196</v>
      </c>
      <c r="CU10" t="s">
        <v>196</v>
      </c>
      <c r="CV10" t="s">
        <v>196</v>
      </c>
      <c r="CW10" t="s">
        <v>196</v>
      </c>
      <c r="CX10" t="s">
        <v>196</v>
      </c>
      <c r="CY10" t="s">
        <v>196</v>
      </c>
      <c r="CZ10" t="s">
        <v>196</v>
      </c>
      <c r="DA10" t="s">
        <v>196</v>
      </c>
      <c r="DB10" t="s">
        <v>196</v>
      </c>
      <c r="DC10" t="s">
        <v>196</v>
      </c>
      <c r="DD10" t="s">
        <v>196</v>
      </c>
      <c r="DE10" t="s">
        <v>196</v>
      </c>
      <c r="DF10" t="s">
        <v>196</v>
      </c>
      <c r="DG10" t="s">
        <v>196</v>
      </c>
      <c r="DH10" t="s">
        <v>196</v>
      </c>
      <c r="DI10" t="s">
        <v>196</v>
      </c>
      <c r="DJ10" t="s">
        <v>196</v>
      </c>
      <c r="DK10" t="s">
        <v>196</v>
      </c>
      <c r="DL10" t="s">
        <v>196</v>
      </c>
      <c r="DM10" t="s">
        <v>196</v>
      </c>
      <c r="DN10" t="s">
        <v>196</v>
      </c>
      <c r="DO10" t="s">
        <v>196</v>
      </c>
      <c r="DP10" t="s">
        <v>196</v>
      </c>
      <c r="DQ10" t="s">
        <v>196</v>
      </c>
      <c r="DR10" t="s">
        <v>196</v>
      </c>
      <c r="DS10" t="s">
        <v>196</v>
      </c>
      <c r="DT10" t="s">
        <v>196</v>
      </c>
      <c r="DU10" t="s">
        <v>196</v>
      </c>
      <c r="DV10" t="s">
        <v>196</v>
      </c>
      <c r="DW10" t="s">
        <v>196</v>
      </c>
      <c r="DX10" t="s">
        <v>196</v>
      </c>
      <c r="DY10" t="s">
        <v>196</v>
      </c>
      <c r="DZ10" t="s">
        <v>196</v>
      </c>
      <c r="EA10" t="s">
        <v>196</v>
      </c>
      <c r="EB10" t="s">
        <v>196</v>
      </c>
      <c r="EC10" t="s">
        <v>196</v>
      </c>
      <c r="ED10" t="s">
        <v>196</v>
      </c>
      <c r="EE10" t="s">
        <v>196</v>
      </c>
      <c r="EF10" t="s">
        <v>196</v>
      </c>
      <c r="EG10" t="s">
        <v>196</v>
      </c>
      <c r="EH10" t="s">
        <v>196</v>
      </c>
      <c r="EI10" t="s">
        <v>196</v>
      </c>
      <c r="EJ10" t="s">
        <v>196</v>
      </c>
      <c r="EK10" t="s">
        <v>196</v>
      </c>
      <c r="EL10" t="s">
        <v>196</v>
      </c>
      <c r="EM10" t="s">
        <v>196</v>
      </c>
      <c r="EN10" t="s">
        <v>196</v>
      </c>
      <c r="EO10" t="s">
        <v>196</v>
      </c>
      <c r="EP10" t="str">
        <f t="shared" si="0"/>
        <v>Active</v>
      </c>
    </row>
    <row r="11" spans="1:147">
      <c r="A11" t="s">
        <v>3</v>
      </c>
      <c r="B11" t="s">
        <v>359</v>
      </c>
      <c r="C11" t="s">
        <v>19</v>
      </c>
      <c r="D11" t="s">
        <v>172</v>
      </c>
      <c r="E11" t="s">
        <v>7</v>
      </c>
      <c r="F11" t="s">
        <v>360</v>
      </c>
      <c r="G11" t="s">
        <v>361</v>
      </c>
      <c r="H11" t="s">
        <v>362</v>
      </c>
      <c r="I11" t="s">
        <v>363</v>
      </c>
      <c r="J11" t="s">
        <v>364</v>
      </c>
      <c r="K11" t="s">
        <v>212</v>
      </c>
      <c r="L11" t="s">
        <v>262</v>
      </c>
      <c r="M11" t="s">
        <v>362</v>
      </c>
      <c r="N11">
        <v>1741267</v>
      </c>
      <c r="O11">
        <v>1741268</v>
      </c>
      <c r="P11" t="s">
        <v>365</v>
      </c>
      <c r="Q11" t="s">
        <v>366</v>
      </c>
      <c r="R11" t="s">
        <v>367</v>
      </c>
      <c r="S11" t="b">
        <v>1</v>
      </c>
      <c r="T11" t="s">
        <v>368</v>
      </c>
      <c r="U11" s="1">
        <v>349000000000</v>
      </c>
      <c r="V11" t="s">
        <v>184</v>
      </c>
      <c r="W11">
        <v>95711</v>
      </c>
      <c r="X11" t="s">
        <v>369</v>
      </c>
      <c r="Y11" t="s">
        <v>370</v>
      </c>
      <c r="Z11" t="s">
        <v>196</v>
      </c>
      <c r="AA11" t="s">
        <v>371</v>
      </c>
      <c r="AB11" t="s">
        <v>188</v>
      </c>
      <c r="AC11" t="s">
        <v>201</v>
      </c>
      <c r="AD11" t="s">
        <v>202</v>
      </c>
      <c r="AE11" t="s">
        <v>372</v>
      </c>
      <c r="AF11" t="s">
        <v>373</v>
      </c>
      <c r="AG11" t="s">
        <v>196</v>
      </c>
      <c r="AH11" t="s">
        <v>374</v>
      </c>
      <c r="AI11">
        <v>20241111</v>
      </c>
      <c r="AJ11">
        <v>20241129</v>
      </c>
      <c r="AK11" t="s">
        <v>196</v>
      </c>
      <c r="AL11">
        <v>20241211</v>
      </c>
      <c r="AM11" t="s">
        <v>375</v>
      </c>
      <c r="AN11" t="s">
        <v>196</v>
      </c>
      <c r="AO11" t="s">
        <v>376</v>
      </c>
      <c r="AP11" t="s">
        <v>196</v>
      </c>
      <c r="AQ11">
        <v>1741270</v>
      </c>
      <c r="AR11" t="s">
        <v>377</v>
      </c>
      <c r="AS11" t="s">
        <v>378</v>
      </c>
      <c r="AT11" t="s">
        <v>379</v>
      </c>
      <c r="AU11" t="s">
        <v>380</v>
      </c>
      <c r="AV11" t="s">
        <v>381</v>
      </c>
      <c r="AW11" t="s">
        <v>196</v>
      </c>
      <c r="AX11" t="s">
        <v>196</v>
      </c>
      <c r="AY11" t="s">
        <v>196</v>
      </c>
      <c r="AZ11" t="s">
        <v>196</v>
      </c>
      <c r="BA11" t="s">
        <v>196</v>
      </c>
      <c r="BB11" t="s">
        <v>196</v>
      </c>
      <c r="BC11" t="s">
        <v>196</v>
      </c>
      <c r="BD11" s="1">
        <v>349000000000</v>
      </c>
      <c r="BE11" t="s">
        <v>196</v>
      </c>
      <c r="BF11" t="s">
        <v>196</v>
      </c>
      <c r="BG11" t="s">
        <v>196</v>
      </c>
      <c r="BH11" t="s">
        <v>196</v>
      </c>
      <c r="BI11" t="s">
        <v>196</v>
      </c>
      <c r="BJ11" t="s">
        <v>196</v>
      </c>
      <c r="BK11" t="s">
        <v>196</v>
      </c>
      <c r="BL11" t="s">
        <v>196</v>
      </c>
      <c r="BM11" t="s">
        <v>196</v>
      </c>
      <c r="BN11" t="s">
        <v>196</v>
      </c>
      <c r="BO11" t="s">
        <v>196</v>
      </c>
      <c r="BP11">
        <v>1741271</v>
      </c>
      <c r="BQ11" t="s">
        <v>382</v>
      </c>
      <c r="BR11" t="s">
        <v>383</v>
      </c>
      <c r="BS11" t="s">
        <v>384</v>
      </c>
      <c r="BT11" t="s">
        <v>385</v>
      </c>
      <c r="BU11" t="s">
        <v>196</v>
      </c>
      <c r="BV11" t="s">
        <v>196</v>
      </c>
      <c r="BW11" t="s">
        <v>196</v>
      </c>
      <c r="BX11" t="s">
        <v>196</v>
      </c>
      <c r="BY11" t="s">
        <v>196</v>
      </c>
      <c r="BZ11" t="s">
        <v>196</v>
      </c>
      <c r="CA11" t="s">
        <v>196</v>
      </c>
      <c r="CB11" t="s">
        <v>196</v>
      </c>
      <c r="CC11" t="s">
        <v>196</v>
      </c>
      <c r="CD11" t="s">
        <v>196</v>
      </c>
      <c r="CE11" t="s">
        <v>196</v>
      </c>
      <c r="CF11" t="s">
        <v>196</v>
      </c>
      <c r="CG11" t="s">
        <v>196</v>
      </c>
      <c r="CH11" t="s">
        <v>196</v>
      </c>
      <c r="CI11" t="s">
        <v>196</v>
      </c>
      <c r="CJ11" t="s">
        <v>196</v>
      </c>
      <c r="CK11" t="s">
        <v>196</v>
      </c>
      <c r="CL11" t="s">
        <v>196</v>
      </c>
      <c r="CM11" t="s">
        <v>196</v>
      </c>
      <c r="CN11" t="s">
        <v>196</v>
      </c>
      <c r="CO11" t="s">
        <v>196</v>
      </c>
      <c r="CP11" t="s">
        <v>196</v>
      </c>
      <c r="CQ11" t="s">
        <v>196</v>
      </c>
      <c r="CR11" t="s">
        <v>196</v>
      </c>
      <c r="CS11" t="s">
        <v>196</v>
      </c>
      <c r="CT11" t="s">
        <v>196</v>
      </c>
      <c r="CU11" t="s">
        <v>196</v>
      </c>
      <c r="CV11" t="s">
        <v>196</v>
      </c>
      <c r="CW11" t="s">
        <v>196</v>
      </c>
      <c r="CX11" t="s">
        <v>196</v>
      </c>
      <c r="CY11" t="s">
        <v>196</v>
      </c>
      <c r="CZ11" t="s">
        <v>196</v>
      </c>
      <c r="DA11" t="s">
        <v>196</v>
      </c>
      <c r="DB11" t="s">
        <v>196</v>
      </c>
      <c r="DC11" t="s">
        <v>196</v>
      </c>
      <c r="DD11" t="s">
        <v>196</v>
      </c>
      <c r="DE11" t="s">
        <v>196</v>
      </c>
      <c r="DF11" t="s">
        <v>196</v>
      </c>
      <c r="DG11" t="s">
        <v>196</v>
      </c>
      <c r="DH11" t="s">
        <v>196</v>
      </c>
      <c r="DI11" t="s">
        <v>196</v>
      </c>
      <c r="DJ11" t="s">
        <v>196</v>
      </c>
      <c r="DK11" t="s">
        <v>196</v>
      </c>
      <c r="DL11" t="s">
        <v>196</v>
      </c>
      <c r="DM11" t="s">
        <v>196</v>
      </c>
      <c r="DN11" t="s">
        <v>196</v>
      </c>
      <c r="DO11" t="s">
        <v>196</v>
      </c>
      <c r="DP11" t="s">
        <v>196</v>
      </c>
      <c r="DQ11" t="s">
        <v>196</v>
      </c>
      <c r="DR11" t="s">
        <v>196</v>
      </c>
      <c r="DS11" t="s">
        <v>196</v>
      </c>
      <c r="DT11" t="s">
        <v>196</v>
      </c>
      <c r="DU11" t="s">
        <v>196</v>
      </c>
      <c r="DV11" t="s">
        <v>196</v>
      </c>
      <c r="DW11" t="s">
        <v>196</v>
      </c>
      <c r="DX11" t="s">
        <v>196</v>
      </c>
      <c r="DY11" t="s">
        <v>196</v>
      </c>
      <c r="DZ11" t="s">
        <v>196</v>
      </c>
      <c r="EA11" t="s">
        <v>196</v>
      </c>
      <c r="EB11" t="s">
        <v>196</v>
      </c>
      <c r="EC11" t="s">
        <v>196</v>
      </c>
      <c r="ED11" t="s">
        <v>196</v>
      </c>
      <c r="EE11" t="s">
        <v>196</v>
      </c>
      <c r="EF11" t="s">
        <v>196</v>
      </c>
      <c r="EG11" t="s">
        <v>196</v>
      </c>
      <c r="EH11" t="s">
        <v>196</v>
      </c>
      <c r="EI11" t="s">
        <v>196</v>
      </c>
      <c r="EJ11" t="s">
        <v>196</v>
      </c>
      <c r="EK11" t="s">
        <v>196</v>
      </c>
      <c r="EL11" t="s">
        <v>196</v>
      </c>
      <c r="EM11" t="s">
        <v>196</v>
      </c>
      <c r="EN11" t="s">
        <v>196</v>
      </c>
      <c r="EO11" t="s">
        <v>196</v>
      </c>
      <c r="EP11" t="str">
        <f t="shared" si="0"/>
        <v>Active</v>
      </c>
    </row>
    <row r="12" spans="1:147">
      <c r="A12" t="s">
        <v>3</v>
      </c>
      <c r="B12" t="s">
        <v>386</v>
      </c>
      <c r="C12" t="s">
        <v>17</v>
      </c>
      <c r="D12" t="s">
        <v>172</v>
      </c>
      <c r="E12" t="s">
        <v>7</v>
      </c>
      <c r="F12" t="s">
        <v>387</v>
      </c>
      <c r="G12" t="s">
        <v>388</v>
      </c>
      <c r="H12" t="s">
        <v>388</v>
      </c>
      <c r="I12" t="s">
        <v>389</v>
      </c>
      <c r="J12" t="s">
        <v>390</v>
      </c>
      <c r="K12" t="s">
        <v>212</v>
      </c>
      <c r="L12" t="s">
        <v>213</v>
      </c>
      <c r="M12" t="s">
        <v>388</v>
      </c>
      <c r="N12">
        <v>892246</v>
      </c>
      <c r="O12">
        <v>892251</v>
      </c>
      <c r="P12" t="s">
        <v>391</v>
      </c>
      <c r="Q12" t="s">
        <v>392</v>
      </c>
      <c r="R12" t="s">
        <v>393</v>
      </c>
      <c r="S12" t="b">
        <v>1</v>
      </c>
      <c r="T12" t="s">
        <v>394</v>
      </c>
      <c r="U12" s="1">
        <v>317000000000</v>
      </c>
      <c r="V12" t="s">
        <v>184</v>
      </c>
      <c r="W12">
        <v>95747</v>
      </c>
      <c r="X12" t="s">
        <v>395</v>
      </c>
      <c r="Y12" t="s">
        <v>396</v>
      </c>
      <c r="Z12" t="s">
        <v>196</v>
      </c>
      <c r="AA12" t="s">
        <v>397</v>
      </c>
      <c r="AB12" t="s">
        <v>188</v>
      </c>
      <c r="AC12" t="s">
        <v>201</v>
      </c>
      <c r="AD12" t="s">
        <v>222</v>
      </c>
      <c r="AE12" t="s">
        <v>398</v>
      </c>
      <c r="AF12" t="s">
        <v>399</v>
      </c>
      <c r="AG12" t="s">
        <v>196</v>
      </c>
      <c r="AH12" t="s">
        <v>400</v>
      </c>
      <c r="AI12">
        <v>20241108</v>
      </c>
      <c r="AJ12">
        <v>20241129</v>
      </c>
      <c r="AK12" t="s">
        <v>196</v>
      </c>
      <c r="AL12">
        <v>20241211</v>
      </c>
      <c r="AM12" t="s">
        <v>401</v>
      </c>
      <c r="AN12" t="s">
        <v>196</v>
      </c>
      <c r="AO12" t="s">
        <v>402</v>
      </c>
      <c r="AP12" t="s">
        <v>403</v>
      </c>
      <c r="AQ12">
        <v>892255</v>
      </c>
      <c r="AR12" t="s">
        <v>404</v>
      </c>
      <c r="AS12" t="s">
        <v>405</v>
      </c>
      <c r="AT12" t="s">
        <v>406</v>
      </c>
      <c r="AU12" t="s">
        <v>407</v>
      </c>
      <c r="AV12" t="s">
        <v>408</v>
      </c>
      <c r="AW12" t="s">
        <v>409</v>
      </c>
      <c r="AX12" t="s">
        <v>410</v>
      </c>
      <c r="AY12" t="s">
        <v>411</v>
      </c>
      <c r="AZ12" t="s">
        <v>412</v>
      </c>
      <c r="BA12" t="s">
        <v>413</v>
      </c>
      <c r="BB12" t="s">
        <v>414</v>
      </c>
      <c r="BC12" t="s">
        <v>196</v>
      </c>
      <c r="BD12" s="1">
        <v>317000000000</v>
      </c>
      <c r="BE12" s="1">
        <v>317000000000</v>
      </c>
      <c r="BF12" t="s">
        <v>415</v>
      </c>
      <c r="BG12" t="s">
        <v>416</v>
      </c>
      <c r="BH12" t="s">
        <v>417</v>
      </c>
      <c r="BI12" t="s">
        <v>418</v>
      </c>
      <c r="BJ12" t="s">
        <v>419</v>
      </c>
      <c r="BK12" t="s">
        <v>420</v>
      </c>
      <c r="BL12" t="s">
        <v>421</v>
      </c>
      <c r="BM12" t="s">
        <v>422</v>
      </c>
      <c r="BN12" t="s">
        <v>423</v>
      </c>
      <c r="BO12" t="s">
        <v>424</v>
      </c>
      <c r="BP12">
        <v>966220</v>
      </c>
      <c r="BQ12" t="s">
        <v>196</v>
      </c>
      <c r="BR12" t="s">
        <v>196</v>
      </c>
      <c r="BS12" t="s">
        <v>196</v>
      </c>
      <c r="BT12" t="s">
        <v>196</v>
      </c>
      <c r="BU12" t="s">
        <v>425</v>
      </c>
      <c r="BV12" t="s">
        <v>426</v>
      </c>
      <c r="BW12" t="s">
        <v>427</v>
      </c>
      <c r="BX12" t="s">
        <v>428</v>
      </c>
      <c r="BY12" t="s">
        <v>429</v>
      </c>
      <c r="BZ12" t="s">
        <v>430</v>
      </c>
      <c r="CA12" t="s">
        <v>431</v>
      </c>
      <c r="CB12">
        <v>966221</v>
      </c>
      <c r="CC12">
        <v>966222</v>
      </c>
      <c r="CD12">
        <v>966224</v>
      </c>
      <c r="CE12">
        <v>966225</v>
      </c>
      <c r="CF12">
        <v>966248</v>
      </c>
      <c r="CG12">
        <v>966249</v>
      </c>
      <c r="CH12">
        <v>966253</v>
      </c>
      <c r="CI12">
        <v>966270</v>
      </c>
      <c r="CJ12" t="s">
        <v>432</v>
      </c>
      <c r="CK12" t="s">
        <v>433</v>
      </c>
      <c r="CL12" t="s">
        <v>434</v>
      </c>
      <c r="CM12" t="s">
        <v>435</v>
      </c>
      <c r="CN12" s="1">
        <v>317000000000</v>
      </c>
      <c r="CO12" s="1">
        <v>317000000000</v>
      </c>
      <c r="CP12" s="1">
        <v>317000000000</v>
      </c>
      <c r="CQ12" s="1">
        <v>317000000000</v>
      </c>
      <c r="CR12" s="1">
        <v>317000000000</v>
      </c>
      <c r="CS12" s="1">
        <v>317000000000</v>
      </c>
      <c r="CT12" s="1">
        <v>317000000000</v>
      </c>
      <c r="CU12" s="1">
        <v>317000000000</v>
      </c>
      <c r="CV12" s="1">
        <v>317000000000</v>
      </c>
      <c r="CW12" t="s">
        <v>196</v>
      </c>
      <c r="CX12" t="s">
        <v>196</v>
      </c>
      <c r="CY12" t="s">
        <v>196</v>
      </c>
      <c r="CZ12" t="s">
        <v>196</v>
      </c>
      <c r="DA12" t="s">
        <v>196</v>
      </c>
      <c r="DB12" t="s">
        <v>196</v>
      </c>
      <c r="DC12" t="s">
        <v>196</v>
      </c>
      <c r="DD12" t="s">
        <v>196</v>
      </c>
      <c r="DE12" t="s">
        <v>196</v>
      </c>
      <c r="DF12" t="s">
        <v>196</v>
      </c>
      <c r="DG12" t="s">
        <v>196</v>
      </c>
      <c r="DH12" t="s">
        <v>196</v>
      </c>
      <c r="DI12" t="s">
        <v>196</v>
      </c>
      <c r="DJ12" t="s">
        <v>196</v>
      </c>
      <c r="DK12" t="s">
        <v>196</v>
      </c>
      <c r="DL12" t="s">
        <v>196</v>
      </c>
      <c r="DM12" t="s">
        <v>196</v>
      </c>
      <c r="DN12" t="s">
        <v>196</v>
      </c>
      <c r="DO12" t="s">
        <v>196</v>
      </c>
      <c r="DP12" t="s">
        <v>196</v>
      </c>
      <c r="DQ12" t="s">
        <v>196</v>
      </c>
      <c r="DR12" t="s">
        <v>196</v>
      </c>
      <c r="DS12" t="s">
        <v>196</v>
      </c>
      <c r="DT12" t="s">
        <v>196</v>
      </c>
      <c r="DU12" t="s">
        <v>196</v>
      </c>
      <c r="DV12" t="s">
        <v>196</v>
      </c>
      <c r="DW12" t="s">
        <v>196</v>
      </c>
      <c r="DX12" t="s">
        <v>196</v>
      </c>
      <c r="DY12" t="s">
        <v>196</v>
      </c>
      <c r="DZ12" t="s">
        <v>196</v>
      </c>
      <c r="EA12" t="s">
        <v>196</v>
      </c>
      <c r="EB12" t="s">
        <v>196</v>
      </c>
      <c r="EC12" t="s">
        <v>196</v>
      </c>
      <c r="ED12" t="s">
        <v>196</v>
      </c>
      <c r="EE12" t="s">
        <v>196</v>
      </c>
      <c r="EF12" t="s">
        <v>196</v>
      </c>
      <c r="EG12" t="s">
        <v>196</v>
      </c>
      <c r="EH12" t="s">
        <v>196</v>
      </c>
      <c r="EI12" t="s">
        <v>196</v>
      </c>
      <c r="EJ12" t="s">
        <v>196</v>
      </c>
      <c r="EK12" t="s">
        <v>196</v>
      </c>
      <c r="EL12" t="s">
        <v>196</v>
      </c>
      <c r="EM12" t="s">
        <v>196</v>
      </c>
      <c r="EN12" t="s">
        <v>196</v>
      </c>
      <c r="EO12" t="s">
        <v>196</v>
      </c>
      <c r="EP12" t="str">
        <f t="shared" si="0"/>
        <v>Active</v>
      </c>
    </row>
    <row r="13" spans="1:147">
      <c r="A13" t="s">
        <v>3</v>
      </c>
      <c r="B13" t="s">
        <v>436</v>
      </c>
      <c r="C13" t="s">
        <v>20</v>
      </c>
      <c r="D13" t="s">
        <v>172</v>
      </c>
      <c r="E13" t="s">
        <v>7</v>
      </c>
      <c r="F13" t="s">
        <v>437</v>
      </c>
      <c r="G13" t="s">
        <v>438</v>
      </c>
      <c r="H13" t="s">
        <v>439</v>
      </c>
      <c r="I13" t="s">
        <v>440</v>
      </c>
      <c r="J13" t="s">
        <v>441</v>
      </c>
      <c r="K13" t="s">
        <v>212</v>
      </c>
      <c r="L13" t="s">
        <v>213</v>
      </c>
      <c r="M13" t="s">
        <v>439</v>
      </c>
      <c r="N13">
        <v>596926</v>
      </c>
      <c r="O13">
        <v>596930</v>
      </c>
      <c r="P13" t="s">
        <v>442</v>
      </c>
      <c r="Q13" t="s">
        <v>443</v>
      </c>
      <c r="R13" t="s">
        <v>444</v>
      </c>
      <c r="S13" t="b">
        <v>1</v>
      </c>
      <c r="T13" t="s">
        <v>445</v>
      </c>
      <c r="U13" s="1">
        <v>368000000000</v>
      </c>
      <c r="V13" t="s">
        <v>184</v>
      </c>
      <c r="W13">
        <v>95849</v>
      </c>
      <c r="X13" t="s">
        <v>446</v>
      </c>
      <c r="Y13" t="s">
        <v>447</v>
      </c>
      <c r="Z13" t="s">
        <v>196</v>
      </c>
      <c r="AA13" t="s">
        <v>448</v>
      </c>
      <c r="AB13" t="s">
        <v>188</v>
      </c>
      <c r="AC13" t="s">
        <v>201</v>
      </c>
      <c r="AD13" t="s">
        <v>449</v>
      </c>
      <c r="AE13" t="s">
        <v>450</v>
      </c>
      <c r="AF13" t="s">
        <v>451</v>
      </c>
      <c r="AG13" t="s">
        <v>452</v>
      </c>
      <c r="AH13" t="s">
        <v>453</v>
      </c>
      <c r="AI13">
        <v>20241114</v>
      </c>
      <c r="AJ13">
        <v>20241203</v>
      </c>
      <c r="AK13" t="s">
        <v>196</v>
      </c>
      <c r="AL13">
        <v>20241211</v>
      </c>
      <c r="AM13" t="s">
        <v>454</v>
      </c>
      <c r="AN13" t="s">
        <v>196</v>
      </c>
      <c r="AO13" t="s">
        <v>455</v>
      </c>
      <c r="AP13" t="s">
        <v>456</v>
      </c>
      <c r="AQ13">
        <v>596934</v>
      </c>
      <c r="AR13" t="s">
        <v>457</v>
      </c>
      <c r="AS13" t="s">
        <v>458</v>
      </c>
      <c r="AT13" t="s">
        <v>459</v>
      </c>
      <c r="AU13" t="s">
        <v>460</v>
      </c>
      <c r="AV13" t="s">
        <v>461</v>
      </c>
      <c r="AW13" t="s">
        <v>462</v>
      </c>
      <c r="AX13" t="s">
        <v>196</v>
      </c>
      <c r="AY13" t="s">
        <v>196</v>
      </c>
      <c r="AZ13" t="s">
        <v>196</v>
      </c>
      <c r="BA13" t="s">
        <v>196</v>
      </c>
      <c r="BB13" t="s">
        <v>196</v>
      </c>
      <c r="BC13" t="s">
        <v>196</v>
      </c>
      <c r="BD13" s="1">
        <v>368000000000</v>
      </c>
      <c r="BE13" s="1">
        <v>368000000000</v>
      </c>
      <c r="BF13" t="s">
        <v>196</v>
      </c>
      <c r="BG13" t="s">
        <v>196</v>
      </c>
      <c r="BH13" t="s">
        <v>196</v>
      </c>
      <c r="BI13" t="s">
        <v>196</v>
      </c>
      <c r="BJ13" t="s">
        <v>196</v>
      </c>
      <c r="BK13" t="s">
        <v>196</v>
      </c>
      <c r="BL13" t="s">
        <v>196</v>
      </c>
      <c r="BM13" t="s">
        <v>196</v>
      </c>
      <c r="BN13" t="s">
        <v>196</v>
      </c>
      <c r="BO13" t="s">
        <v>196</v>
      </c>
      <c r="BP13" t="s">
        <v>196</v>
      </c>
      <c r="BQ13" t="s">
        <v>196</v>
      </c>
      <c r="BR13" t="s">
        <v>196</v>
      </c>
      <c r="BS13" t="s">
        <v>196</v>
      </c>
      <c r="BT13" t="s">
        <v>196</v>
      </c>
      <c r="BU13" t="s">
        <v>196</v>
      </c>
      <c r="BV13" t="s">
        <v>196</v>
      </c>
      <c r="BW13" t="s">
        <v>196</v>
      </c>
      <c r="BX13" t="s">
        <v>196</v>
      </c>
      <c r="BY13" t="s">
        <v>196</v>
      </c>
      <c r="BZ13" t="s">
        <v>196</v>
      </c>
      <c r="CA13" t="s">
        <v>196</v>
      </c>
      <c r="CB13" t="s">
        <v>196</v>
      </c>
      <c r="CC13" t="s">
        <v>196</v>
      </c>
      <c r="CD13" t="s">
        <v>196</v>
      </c>
      <c r="CE13" t="s">
        <v>196</v>
      </c>
      <c r="CF13" t="s">
        <v>196</v>
      </c>
      <c r="CG13" t="s">
        <v>196</v>
      </c>
      <c r="CH13" t="s">
        <v>196</v>
      </c>
      <c r="CI13" t="s">
        <v>196</v>
      </c>
      <c r="CJ13" t="s">
        <v>196</v>
      </c>
      <c r="CK13" t="s">
        <v>196</v>
      </c>
      <c r="CL13" t="s">
        <v>196</v>
      </c>
      <c r="CM13" t="s">
        <v>196</v>
      </c>
      <c r="CN13" t="s">
        <v>196</v>
      </c>
      <c r="CO13" t="s">
        <v>196</v>
      </c>
      <c r="CP13" t="s">
        <v>196</v>
      </c>
      <c r="CQ13" t="s">
        <v>196</v>
      </c>
      <c r="CR13" t="s">
        <v>196</v>
      </c>
      <c r="CS13" t="s">
        <v>196</v>
      </c>
      <c r="CT13" t="s">
        <v>196</v>
      </c>
      <c r="CU13" t="s">
        <v>196</v>
      </c>
      <c r="CV13" t="s">
        <v>196</v>
      </c>
      <c r="CW13" t="s">
        <v>196</v>
      </c>
      <c r="CX13" t="s">
        <v>196</v>
      </c>
      <c r="CY13" t="s">
        <v>196</v>
      </c>
      <c r="CZ13" t="s">
        <v>196</v>
      </c>
      <c r="DA13" t="s">
        <v>196</v>
      </c>
      <c r="DB13" t="s">
        <v>196</v>
      </c>
      <c r="DC13" t="s">
        <v>196</v>
      </c>
      <c r="DD13" t="s">
        <v>196</v>
      </c>
      <c r="DE13" t="s">
        <v>196</v>
      </c>
      <c r="DF13" t="s">
        <v>196</v>
      </c>
      <c r="DG13" t="s">
        <v>196</v>
      </c>
      <c r="DH13" t="s">
        <v>196</v>
      </c>
      <c r="DI13" t="s">
        <v>196</v>
      </c>
      <c r="DJ13" t="s">
        <v>196</v>
      </c>
      <c r="DK13" t="s">
        <v>196</v>
      </c>
      <c r="DL13" t="s">
        <v>196</v>
      </c>
      <c r="DM13" t="s">
        <v>196</v>
      </c>
      <c r="DN13" t="s">
        <v>196</v>
      </c>
      <c r="DO13" t="s">
        <v>196</v>
      </c>
      <c r="DP13" t="s">
        <v>196</v>
      </c>
      <c r="DQ13" t="s">
        <v>196</v>
      </c>
      <c r="DR13" t="s">
        <v>196</v>
      </c>
      <c r="DS13" t="s">
        <v>196</v>
      </c>
      <c r="DT13" t="s">
        <v>196</v>
      </c>
      <c r="DU13" t="s">
        <v>196</v>
      </c>
      <c r="DV13" t="s">
        <v>196</v>
      </c>
      <c r="DW13" t="s">
        <v>196</v>
      </c>
      <c r="DX13" t="s">
        <v>196</v>
      </c>
      <c r="DY13" t="s">
        <v>196</v>
      </c>
      <c r="DZ13" t="s">
        <v>196</v>
      </c>
      <c r="EA13" t="s">
        <v>196</v>
      </c>
      <c r="EB13" t="s">
        <v>196</v>
      </c>
      <c r="EC13" t="s">
        <v>196</v>
      </c>
      <c r="ED13" t="s">
        <v>196</v>
      </c>
      <c r="EE13" t="s">
        <v>196</v>
      </c>
      <c r="EF13" t="s">
        <v>196</v>
      </c>
      <c r="EG13" t="s">
        <v>196</v>
      </c>
      <c r="EH13" t="s">
        <v>196</v>
      </c>
      <c r="EI13" t="s">
        <v>196</v>
      </c>
      <c r="EJ13" t="s">
        <v>196</v>
      </c>
      <c r="EK13" t="s">
        <v>196</v>
      </c>
      <c r="EL13" t="s">
        <v>196</v>
      </c>
      <c r="EM13" t="s">
        <v>196</v>
      </c>
      <c r="EN13" t="s">
        <v>196</v>
      </c>
      <c r="EO13" t="s">
        <v>196</v>
      </c>
      <c r="EP13" t="str">
        <f t="shared" si="0"/>
        <v>Active</v>
      </c>
    </row>
    <row r="14" spans="1:147">
      <c r="A14" t="s">
        <v>4</v>
      </c>
      <c r="B14" t="s">
        <v>463</v>
      </c>
      <c r="C14" t="s">
        <v>18</v>
      </c>
      <c r="D14" t="s">
        <v>172</v>
      </c>
      <c r="E14" t="s">
        <v>7</v>
      </c>
      <c r="F14" t="s">
        <v>196</v>
      </c>
      <c r="G14" t="s">
        <v>464</v>
      </c>
      <c r="H14" t="s">
        <v>465</v>
      </c>
      <c r="I14" t="s">
        <v>466</v>
      </c>
      <c r="J14" t="s">
        <v>467</v>
      </c>
      <c r="K14" t="s">
        <v>212</v>
      </c>
      <c r="L14" t="s">
        <v>179</v>
      </c>
      <c r="M14" t="s">
        <v>468</v>
      </c>
      <c r="N14">
        <v>543786</v>
      </c>
      <c r="O14">
        <v>543789</v>
      </c>
      <c r="P14" t="s">
        <v>469</v>
      </c>
      <c r="Q14" t="s">
        <v>470</v>
      </c>
      <c r="R14" t="s">
        <v>471</v>
      </c>
      <c r="S14" t="b">
        <v>1</v>
      </c>
      <c r="T14" t="s">
        <v>472</v>
      </c>
      <c r="U14" t="s">
        <v>196</v>
      </c>
      <c r="V14" t="s">
        <v>184</v>
      </c>
      <c r="W14">
        <v>66012</v>
      </c>
      <c r="X14" t="s">
        <v>466</v>
      </c>
      <c r="Y14" t="s">
        <v>473</v>
      </c>
      <c r="Z14" t="s">
        <v>16</v>
      </c>
      <c r="AA14" t="s">
        <v>474</v>
      </c>
      <c r="AB14" t="s">
        <v>188</v>
      </c>
      <c r="AC14" t="s">
        <v>201</v>
      </c>
      <c r="AD14" t="s">
        <v>253</v>
      </c>
      <c r="AE14" t="s">
        <v>475</v>
      </c>
      <c r="AF14" t="s">
        <v>476</v>
      </c>
      <c r="AG14" t="s">
        <v>477</v>
      </c>
      <c r="AH14" t="s">
        <v>478</v>
      </c>
      <c r="AI14">
        <v>20130402</v>
      </c>
      <c r="AJ14">
        <v>20131126</v>
      </c>
      <c r="AK14">
        <v>20140801</v>
      </c>
      <c r="AL14">
        <v>20131204</v>
      </c>
      <c r="AM14" t="s">
        <v>479</v>
      </c>
      <c r="AN14" t="s">
        <v>196</v>
      </c>
      <c r="AO14" t="s">
        <v>480</v>
      </c>
      <c r="AP14" t="s">
        <v>481</v>
      </c>
      <c r="AQ14" t="s">
        <v>196</v>
      </c>
      <c r="AR14" t="s">
        <v>482</v>
      </c>
      <c r="AS14" t="s">
        <v>483</v>
      </c>
      <c r="AT14" t="s">
        <v>484</v>
      </c>
      <c r="AU14" t="s">
        <v>485</v>
      </c>
      <c r="AV14" t="s">
        <v>486</v>
      </c>
      <c r="AW14" t="s">
        <v>487</v>
      </c>
      <c r="AX14" t="s">
        <v>488</v>
      </c>
      <c r="AY14" t="s">
        <v>489</v>
      </c>
      <c r="AZ14" t="s">
        <v>196</v>
      </c>
      <c r="BA14" t="s">
        <v>196</v>
      </c>
      <c r="BB14" t="s">
        <v>196</v>
      </c>
      <c r="BC14" t="s">
        <v>196</v>
      </c>
      <c r="BD14" t="s">
        <v>196</v>
      </c>
      <c r="BE14" t="s">
        <v>196</v>
      </c>
      <c r="BF14" t="s">
        <v>196</v>
      </c>
      <c r="BG14" t="s">
        <v>196</v>
      </c>
      <c r="BH14" t="s">
        <v>196</v>
      </c>
      <c r="BI14" t="s">
        <v>196</v>
      </c>
      <c r="BJ14" t="s">
        <v>196</v>
      </c>
      <c r="BK14" t="s">
        <v>196</v>
      </c>
      <c r="BL14" t="s">
        <v>196</v>
      </c>
      <c r="BM14" t="s">
        <v>196</v>
      </c>
      <c r="BN14" t="s">
        <v>196</v>
      </c>
      <c r="BO14" t="s">
        <v>196</v>
      </c>
      <c r="BP14" t="s">
        <v>196</v>
      </c>
      <c r="BQ14" t="s">
        <v>490</v>
      </c>
      <c r="BR14" t="s">
        <v>491</v>
      </c>
      <c r="BS14" t="s">
        <v>492</v>
      </c>
      <c r="BT14" t="s">
        <v>493</v>
      </c>
      <c r="BU14" t="s">
        <v>196</v>
      </c>
      <c r="BV14" t="s">
        <v>196</v>
      </c>
      <c r="BW14" t="s">
        <v>196</v>
      </c>
      <c r="BX14" t="s">
        <v>196</v>
      </c>
      <c r="BY14" t="s">
        <v>196</v>
      </c>
      <c r="BZ14" t="s">
        <v>196</v>
      </c>
      <c r="CA14" t="s">
        <v>196</v>
      </c>
      <c r="CB14" t="s">
        <v>196</v>
      </c>
      <c r="CC14" t="s">
        <v>196</v>
      </c>
      <c r="CD14" t="s">
        <v>196</v>
      </c>
      <c r="CE14" t="s">
        <v>196</v>
      </c>
      <c r="CF14" t="s">
        <v>196</v>
      </c>
      <c r="CG14" t="s">
        <v>196</v>
      </c>
      <c r="CH14" t="s">
        <v>196</v>
      </c>
      <c r="CI14" t="s">
        <v>196</v>
      </c>
      <c r="CJ14" t="s">
        <v>196</v>
      </c>
      <c r="CK14" t="s">
        <v>196</v>
      </c>
      <c r="CL14" t="s">
        <v>196</v>
      </c>
      <c r="CM14" t="s">
        <v>196</v>
      </c>
      <c r="CN14" t="s">
        <v>196</v>
      </c>
      <c r="CO14" t="s">
        <v>196</v>
      </c>
      <c r="CP14" t="s">
        <v>196</v>
      </c>
      <c r="CQ14" t="s">
        <v>196</v>
      </c>
      <c r="CR14" t="s">
        <v>196</v>
      </c>
      <c r="CS14" t="s">
        <v>196</v>
      </c>
      <c r="CT14" t="s">
        <v>196</v>
      </c>
      <c r="CU14" t="s">
        <v>196</v>
      </c>
      <c r="CV14" t="s">
        <v>196</v>
      </c>
      <c r="CW14" t="s">
        <v>494</v>
      </c>
      <c r="CX14" t="s">
        <v>495</v>
      </c>
      <c r="CY14" t="s">
        <v>496</v>
      </c>
      <c r="CZ14" t="s">
        <v>497</v>
      </c>
      <c r="DA14" t="s">
        <v>498</v>
      </c>
      <c r="DB14" t="s">
        <v>499</v>
      </c>
      <c r="DC14" t="s">
        <v>500</v>
      </c>
      <c r="DD14" t="s">
        <v>501</v>
      </c>
      <c r="DE14" t="s">
        <v>196</v>
      </c>
      <c r="DF14" t="s">
        <v>196</v>
      </c>
      <c r="DG14" t="s">
        <v>196</v>
      </c>
      <c r="DH14" t="s">
        <v>196</v>
      </c>
      <c r="DI14" t="s">
        <v>196</v>
      </c>
      <c r="DJ14" t="s">
        <v>196</v>
      </c>
      <c r="DK14" t="s">
        <v>196</v>
      </c>
      <c r="DL14" t="s">
        <v>196</v>
      </c>
      <c r="DM14" t="s">
        <v>196</v>
      </c>
      <c r="DN14" t="s">
        <v>196</v>
      </c>
      <c r="DO14" t="s">
        <v>196</v>
      </c>
      <c r="DP14" t="s">
        <v>196</v>
      </c>
      <c r="DQ14" t="s">
        <v>196</v>
      </c>
      <c r="DR14" t="s">
        <v>196</v>
      </c>
      <c r="DS14" t="s">
        <v>196</v>
      </c>
      <c r="DT14" t="s">
        <v>196</v>
      </c>
      <c r="DU14" t="s">
        <v>196</v>
      </c>
      <c r="DV14" t="s">
        <v>196</v>
      </c>
      <c r="DW14" t="s">
        <v>196</v>
      </c>
      <c r="DX14" t="s">
        <v>196</v>
      </c>
      <c r="DY14" t="s">
        <v>196</v>
      </c>
      <c r="DZ14" t="s">
        <v>196</v>
      </c>
      <c r="EA14" t="s">
        <v>196</v>
      </c>
      <c r="EB14" t="s">
        <v>196</v>
      </c>
      <c r="EC14" t="s">
        <v>196</v>
      </c>
      <c r="ED14" t="s">
        <v>196</v>
      </c>
      <c r="EE14" t="s">
        <v>196</v>
      </c>
      <c r="EF14" t="s">
        <v>196</v>
      </c>
      <c r="EG14" t="s">
        <v>196</v>
      </c>
      <c r="EH14" t="s">
        <v>196</v>
      </c>
      <c r="EI14" t="s">
        <v>196</v>
      </c>
      <c r="EJ14" t="s">
        <v>196</v>
      </c>
      <c r="EK14" t="s">
        <v>196</v>
      </c>
      <c r="EL14" t="s">
        <v>196</v>
      </c>
      <c r="EM14" t="s">
        <v>196</v>
      </c>
      <c r="EN14" t="s">
        <v>196</v>
      </c>
      <c r="EO14" t="s">
        <v>196</v>
      </c>
      <c r="EP14" t="str">
        <f t="shared" si="0"/>
        <v>Inactive</v>
      </c>
    </row>
    <row r="15" spans="1:147">
      <c r="A15" t="s">
        <v>4</v>
      </c>
      <c r="B15" t="s">
        <v>171</v>
      </c>
      <c r="C15" t="s">
        <v>18</v>
      </c>
      <c r="D15" t="s">
        <v>172</v>
      </c>
      <c r="E15" t="s">
        <v>7</v>
      </c>
      <c r="F15" t="s">
        <v>173</v>
      </c>
      <c r="G15" t="s">
        <v>502</v>
      </c>
      <c r="H15" t="s">
        <v>503</v>
      </c>
      <c r="I15" t="s">
        <v>504</v>
      </c>
      <c r="J15" t="s">
        <v>505</v>
      </c>
      <c r="K15" t="s">
        <v>178</v>
      </c>
      <c r="L15" t="s">
        <v>179</v>
      </c>
      <c r="M15" t="s">
        <v>503</v>
      </c>
      <c r="N15">
        <v>998428</v>
      </c>
      <c r="O15" t="s">
        <v>196</v>
      </c>
      <c r="P15" t="s">
        <v>506</v>
      </c>
      <c r="Q15" t="s">
        <v>507</v>
      </c>
      <c r="R15" t="s">
        <v>508</v>
      </c>
      <c r="S15" t="b">
        <v>1</v>
      </c>
      <c r="T15" t="s">
        <v>509</v>
      </c>
      <c r="U15" s="1">
        <v>311000000000</v>
      </c>
      <c r="V15" t="s">
        <v>184</v>
      </c>
      <c r="W15">
        <v>88677</v>
      </c>
      <c r="X15" t="s">
        <v>185</v>
      </c>
      <c r="Y15" t="s">
        <v>186</v>
      </c>
      <c r="Z15" t="s">
        <v>16</v>
      </c>
      <c r="AA15" t="s">
        <v>187</v>
      </c>
      <c r="AB15" t="s">
        <v>188</v>
      </c>
      <c r="AC15" t="s">
        <v>189</v>
      </c>
      <c r="AD15" t="s">
        <v>190</v>
      </c>
      <c r="AE15" t="s">
        <v>510</v>
      </c>
      <c r="AF15" t="s">
        <v>511</v>
      </c>
      <c r="AG15" t="s">
        <v>512</v>
      </c>
      <c r="AH15" t="s">
        <v>270</v>
      </c>
      <c r="AI15">
        <v>20211001</v>
      </c>
      <c r="AJ15">
        <v>20211118</v>
      </c>
      <c r="AK15">
        <v>20230626</v>
      </c>
      <c r="AL15">
        <v>20211124</v>
      </c>
      <c r="AM15" t="s">
        <v>513</v>
      </c>
      <c r="AN15" t="s">
        <v>196</v>
      </c>
      <c r="AO15" t="s">
        <v>196</v>
      </c>
      <c r="AP15" t="s">
        <v>196</v>
      </c>
      <c r="AQ15" t="s">
        <v>196</v>
      </c>
      <c r="AR15" t="s">
        <v>196</v>
      </c>
      <c r="AS15" t="s">
        <v>196</v>
      </c>
      <c r="AT15" t="s">
        <v>196</v>
      </c>
      <c r="AU15" t="s">
        <v>196</v>
      </c>
      <c r="AV15" t="s">
        <v>196</v>
      </c>
      <c r="AW15" t="s">
        <v>196</v>
      </c>
      <c r="AX15" t="s">
        <v>196</v>
      </c>
      <c r="AY15" t="s">
        <v>196</v>
      </c>
      <c r="AZ15" t="s">
        <v>196</v>
      </c>
      <c r="BA15" t="s">
        <v>196</v>
      </c>
      <c r="BB15" t="s">
        <v>196</v>
      </c>
      <c r="BC15" t="s">
        <v>196</v>
      </c>
      <c r="BD15" s="1">
        <v>311000000000</v>
      </c>
      <c r="BE15">
        <v>41100585943</v>
      </c>
      <c r="BF15" t="s">
        <v>196</v>
      </c>
      <c r="BG15" t="s">
        <v>196</v>
      </c>
      <c r="BH15" t="s">
        <v>196</v>
      </c>
      <c r="BI15" t="s">
        <v>196</v>
      </c>
      <c r="BJ15" t="s">
        <v>196</v>
      </c>
      <c r="BK15" t="s">
        <v>196</v>
      </c>
      <c r="BL15" t="s">
        <v>196</v>
      </c>
      <c r="BM15" t="s">
        <v>196</v>
      </c>
      <c r="BN15" t="s">
        <v>196</v>
      </c>
      <c r="BO15" t="s">
        <v>196</v>
      </c>
      <c r="BP15" t="s">
        <v>196</v>
      </c>
      <c r="BQ15" t="s">
        <v>196</v>
      </c>
      <c r="BR15" t="s">
        <v>196</v>
      </c>
      <c r="BS15" t="s">
        <v>196</v>
      </c>
      <c r="BT15" t="s">
        <v>196</v>
      </c>
      <c r="BU15" t="s">
        <v>196</v>
      </c>
      <c r="BV15" t="s">
        <v>196</v>
      </c>
      <c r="BW15" t="s">
        <v>196</v>
      </c>
      <c r="BX15" t="s">
        <v>196</v>
      </c>
      <c r="BY15" t="s">
        <v>196</v>
      </c>
      <c r="BZ15" t="s">
        <v>196</v>
      </c>
      <c r="CA15" t="s">
        <v>196</v>
      </c>
      <c r="CB15" t="s">
        <v>196</v>
      </c>
      <c r="CC15" t="s">
        <v>196</v>
      </c>
      <c r="CD15" t="s">
        <v>196</v>
      </c>
      <c r="CE15" t="s">
        <v>196</v>
      </c>
      <c r="CF15" t="s">
        <v>196</v>
      </c>
      <c r="CG15" t="s">
        <v>196</v>
      </c>
      <c r="CH15" t="s">
        <v>196</v>
      </c>
      <c r="CI15" t="s">
        <v>196</v>
      </c>
      <c r="CJ15" t="s">
        <v>196</v>
      </c>
      <c r="CK15" t="s">
        <v>196</v>
      </c>
      <c r="CL15" t="s">
        <v>196</v>
      </c>
      <c r="CM15" t="s">
        <v>196</v>
      </c>
      <c r="CN15" t="s">
        <v>196</v>
      </c>
      <c r="CO15" t="s">
        <v>196</v>
      </c>
      <c r="CP15" t="s">
        <v>196</v>
      </c>
      <c r="CQ15" t="s">
        <v>196</v>
      </c>
      <c r="CR15" t="s">
        <v>196</v>
      </c>
      <c r="CS15" t="s">
        <v>196</v>
      </c>
      <c r="CT15" t="s">
        <v>196</v>
      </c>
      <c r="CU15" t="s">
        <v>196</v>
      </c>
      <c r="CV15" t="s">
        <v>196</v>
      </c>
      <c r="CW15" t="s">
        <v>196</v>
      </c>
      <c r="CX15" t="s">
        <v>196</v>
      </c>
      <c r="CY15" t="s">
        <v>196</v>
      </c>
      <c r="CZ15" t="s">
        <v>196</v>
      </c>
      <c r="DA15" t="s">
        <v>196</v>
      </c>
      <c r="DB15" t="s">
        <v>196</v>
      </c>
      <c r="DC15" t="s">
        <v>196</v>
      </c>
      <c r="DD15" t="s">
        <v>196</v>
      </c>
      <c r="DE15" t="s">
        <v>196</v>
      </c>
      <c r="DF15" t="s">
        <v>196</v>
      </c>
      <c r="DG15" t="s">
        <v>196</v>
      </c>
      <c r="DH15" t="s">
        <v>196</v>
      </c>
      <c r="DI15" t="s">
        <v>196</v>
      </c>
      <c r="DJ15" t="s">
        <v>196</v>
      </c>
      <c r="DK15" t="s">
        <v>196</v>
      </c>
      <c r="DL15" t="s">
        <v>196</v>
      </c>
      <c r="DM15" t="s">
        <v>196</v>
      </c>
      <c r="DN15" t="s">
        <v>196</v>
      </c>
      <c r="DO15" t="s">
        <v>196</v>
      </c>
      <c r="DP15" t="s">
        <v>196</v>
      </c>
      <c r="DQ15" t="s">
        <v>196</v>
      </c>
      <c r="DR15" t="s">
        <v>196</v>
      </c>
      <c r="DS15" t="s">
        <v>196</v>
      </c>
      <c r="DT15" t="s">
        <v>196</v>
      </c>
      <c r="DU15" t="s">
        <v>196</v>
      </c>
      <c r="DV15" t="s">
        <v>196</v>
      </c>
      <c r="DW15" t="s">
        <v>196</v>
      </c>
      <c r="DX15" t="s">
        <v>196</v>
      </c>
      <c r="DY15" t="s">
        <v>196</v>
      </c>
      <c r="DZ15" t="s">
        <v>196</v>
      </c>
      <c r="EA15" t="s">
        <v>196</v>
      </c>
      <c r="EB15" t="s">
        <v>196</v>
      </c>
      <c r="EC15" t="s">
        <v>196</v>
      </c>
      <c r="ED15" t="s">
        <v>196</v>
      </c>
      <c r="EE15" t="s">
        <v>196</v>
      </c>
      <c r="EF15" t="s">
        <v>196</v>
      </c>
      <c r="EG15" t="s">
        <v>196</v>
      </c>
      <c r="EH15" t="s">
        <v>196</v>
      </c>
      <c r="EI15" t="s">
        <v>196</v>
      </c>
      <c r="EJ15" t="s">
        <v>196</v>
      </c>
      <c r="EK15" t="s">
        <v>196</v>
      </c>
      <c r="EL15" t="s">
        <v>196</v>
      </c>
      <c r="EM15" t="s">
        <v>196</v>
      </c>
      <c r="EN15" t="s">
        <v>196</v>
      </c>
      <c r="EO15" t="s">
        <v>196</v>
      </c>
      <c r="EP15" t="str">
        <f t="shared" si="0"/>
        <v>Inactive</v>
      </c>
    </row>
    <row r="16" spans="1:147">
      <c r="A16" t="s">
        <v>3</v>
      </c>
      <c r="B16" t="s">
        <v>514</v>
      </c>
      <c r="C16" t="s">
        <v>21</v>
      </c>
      <c r="D16" t="s">
        <v>172</v>
      </c>
      <c r="E16" t="s">
        <v>7</v>
      </c>
      <c r="F16" t="s">
        <v>208</v>
      </c>
      <c r="G16" t="s">
        <v>209</v>
      </c>
      <c r="H16" t="s">
        <v>209</v>
      </c>
      <c r="I16" t="s">
        <v>515</v>
      </c>
      <c r="J16" t="s">
        <v>516</v>
      </c>
      <c r="K16" t="s">
        <v>212</v>
      </c>
      <c r="L16" t="s">
        <v>213</v>
      </c>
      <c r="M16" t="s">
        <v>214</v>
      </c>
      <c r="N16">
        <v>432400</v>
      </c>
      <c r="O16">
        <v>432401</v>
      </c>
      <c r="P16" t="s">
        <v>517</v>
      </c>
      <c r="Q16" t="s">
        <v>518</v>
      </c>
      <c r="R16" t="s">
        <v>519</v>
      </c>
      <c r="S16" t="s">
        <v>196</v>
      </c>
      <c r="T16" t="s">
        <v>218</v>
      </c>
      <c r="U16" t="s">
        <v>196</v>
      </c>
      <c r="V16" t="s">
        <v>184</v>
      </c>
      <c r="W16">
        <v>95897</v>
      </c>
      <c r="X16" t="s">
        <v>515</v>
      </c>
      <c r="Y16" t="s">
        <v>520</v>
      </c>
      <c r="Z16" t="s">
        <v>196</v>
      </c>
      <c r="AA16" t="s">
        <v>521</v>
      </c>
      <c r="AB16" t="s">
        <v>188</v>
      </c>
      <c r="AC16" t="s">
        <v>201</v>
      </c>
      <c r="AD16" t="s">
        <v>222</v>
      </c>
      <c r="AE16" t="s">
        <v>522</v>
      </c>
      <c r="AF16" t="s">
        <v>523</v>
      </c>
      <c r="AG16" t="s">
        <v>524</v>
      </c>
      <c r="AH16" t="s">
        <v>525</v>
      </c>
      <c r="AI16">
        <v>20241127</v>
      </c>
      <c r="AJ16">
        <v>20241205</v>
      </c>
      <c r="AK16" t="s">
        <v>196</v>
      </c>
      <c r="AL16">
        <v>20241211</v>
      </c>
      <c r="AM16" t="s">
        <v>526</v>
      </c>
      <c r="AN16" t="s">
        <v>196</v>
      </c>
      <c r="AO16" t="s">
        <v>527</v>
      </c>
      <c r="AP16" t="s">
        <v>528</v>
      </c>
      <c r="AQ16">
        <v>432402</v>
      </c>
      <c r="AR16" t="s">
        <v>529</v>
      </c>
      <c r="AS16" t="s">
        <v>530</v>
      </c>
      <c r="AT16" t="s">
        <v>196</v>
      </c>
      <c r="AU16" t="s">
        <v>196</v>
      </c>
      <c r="AV16" t="s">
        <v>196</v>
      </c>
      <c r="AW16" t="s">
        <v>196</v>
      </c>
      <c r="AX16" t="s">
        <v>196</v>
      </c>
      <c r="AY16" t="s">
        <v>196</v>
      </c>
      <c r="AZ16" t="s">
        <v>196</v>
      </c>
      <c r="BA16" t="s">
        <v>196</v>
      </c>
      <c r="BB16" t="s">
        <v>196</v>
      </c>
      <c r="BC16" t="s">
        <v>196</v>
      </c>
      <c r="BD16" t="s">
        <v>196</v>
      </c>
      <c r="BE16" t="s">
        <v>196</v>
      </c>
      <c r="BF16" t="s">
        <v>196</v>
      </c>
      <c r="BG16" t="s">
        <v>196</v>
      </c>
      <c r="BH16" t="s">
        <v>196</v>
      </c>
      <c r="BI16" t="s">
        <v>196</v>
      </c>
      <c r="BJ16" t="s">
        <v>196</v>
      </c>
      <c r="BK16" t="s">
        <v>196</v>
      </c>
      <c r="BL16" t="s">
        <v>196</v>
      </c>
      <c r="BM16" t="s">
        <v>196</v>
      </c>
      <c r="BN16" t="s">
        <v>196</v>
      </c>
      <c r="BO16" t="s">
        <v>196</v>
      </c>
      <c r="BP16" t="s">
        <v>196</v>
      </c>
      <c r="BQ16" t="s">
        <v>196</v>
      </c>
      <c r="BR16" t="s">
        <v>196</v>
      </c>
      <c r="BS16" t="s">
        <v>196</v>
      </c>
      <c r="BT16" t="s">
        <v>196</v>
      </c>
      <c r="BU16" t="s">
        <v>196</v>
      </c>
      <c r="BV16" t="s">
        <v>196</v>
      </c>
      <c r="BW16" t="s">
        <v>196</v>
      </c>
      <c r="BX16" t="s">
        <v>196</v>
      </c>
      <c r="BY16" t="s">
        <v>196</v>
      </c>
      <c r="BZ16" t="s">
        <v>196</v>
      </c>
      <c r="CA16" t="s">
        <v>196</v>
      </c>
      <c r="CB16" t="s">
        <v>196</v>
      </c>
      <c r="CC16" t="s">
        <v>196</v>
      </c>
      <c r="CD16" t="s">
        <v>196</v>
      </c>
      <c r="CE16" t="s">
        <v>196</v>
      </c>
      <c r="CF16" t="s">
        <v>196</v>
      </c>
      <c r="CG16" t="s">
        <v>196</v>
      </c>
      <c r="CH16" t="s">
        <v>196</v>
      </c>
      <c r="CI16" t="s">
        <v>196</v>
      </c>
      <c r="CJ16" t="s">
        <v>196</v>
      </c>
      <c r="CK16" t="s">
        <v>196</v>
      </c>
      <c r="CL16" t="s">
        <v>196</v>
      </c>
      <c r="CM16" t="s">
        <v>196</v>
      </c>
      <c r="CN16" t="s">
        <v>196</v>
      </c>
      <c r="CO16" t="s">
        <v>196</v>
      </c>
      <c r="CP16" t="s">
        <v>196</v>
      </c>
      <c r="CQ16" t="s">
        <v>196</v>
      </c>
      <c r="CR16" t="s">
        <v>196</v>
      </c>
      <c r="CS16" t="s">
        <v>196</v>
      </c>
      <c r="CT16" t="s">
        <v>196</v>
      </c>
      <c r="CU16" t="s">
        <v>196</v>
      </c>
      <c r="CV16" t="s">
        <v>196</v>
      </c>
      <c r="CW16" t="s">
        <v>196</v>
      </c>
      <c r="CX16" t="s">
        <v>196</v>
      </c>
      <c r="CY16" t="s">
        <v>196</v>
      </c>
      <c r="CZ16" t="s">
        <v>196</v>
      </c>
      <c r="DA16" t="s">
        <v>196</v>
      </c>
      <c r="DB16" t="s">
        <v>196</v>
      </c>
      <c r="DC16" t="s">
        <v>196</v>
      </c>
      <c r="DD16" t="s">
        <v>196</v>
      </c>
      <c r="DE16" t="s">
        <v>211</v>
      </c>
      <c r="DF16" t="s">
        <v>228</v>
      </c>
      <c r="DG16" t="s">
        <v>229</v>
      </c>
      <c r="DH16" t="s">
        <v>196</v>
      </c>
      <c r="DI16" t="s">
        <v>196</v>
      </c>
      <c r="DJ16" t="s">
        <v>196</v>
      </c>
      <c r="DK16" t="s">
        <v>196</v>
      </c>
      <c r="DL16" t="s">
        <v>196</v>
      </c>
      <c r="DM16" t="s">
        <v>196</v>
      </c>
      <c r="DN16" t="s">
        <v>196</v>
      </c>
      <c r="DO16" t="s">
        <v>196</v>
      </c>
      <c r="DP16" t="s">
        <v>196</v>
      </c>
      <c r="DQ16" t="s">
        <v>196</v>
      </c>
      <c r="DR16" t="s">
        <v>196</v>
      </c>
      <c r="DS16" t="s">
        <v>196</v>
      </c>
      <c r="DT16" t="s">
        <v>196</v>
      </c>
      <c r="DU16" t="s">
        <v>196</v>
      </c>
      <c r="DV16" t="s">
        <v>196</v>
      </c>
      <c r="DW16" t="s">
        <v>196</v>
      </c>
      <c r="DX16" t="s">
        <v>196</v>
      </c>
      <c r="DY16" t="s">
        <v>196</v>
      </c>
      <c r="DZ16" t="s">
        <v>196</v>
      </c>
      <c r="EA16" t="s">
        <v>196</v>
      </c>
      <c r="EB16" t="s">
        <v>196</v>
      </c>
      <c r="EC16" t="s">
        <v>196</v>
      </c>
      <c r="ED16" t="s">
        <v>196</v>
      </c>
      <c r="EE16" t="s">
        <v>196</v>
      </c>
      <c r="EF16" t="s">
        <v>196</v>
      </c>
      <c r="EG16" t="s">
        <v>196</v>
      </c>
      <c r="EH16" t="s">
        <v>196</v>
      </c>
      <c r="EI16" t="s">
        <v>196</v>
      </c>
      <c r="EJ16" t="s">
        <v>196</v>
      </c>
      <c r="EK16" t="s">
        <v>196</v>
      </c>
      <c r="EL16" t="s">
        <v>196</v>
      </c>
      <c r="EM16" t="s">
        <v>196</v>
      </c>
      <c r="EN16" t="s">
        <v>196</v>
      </c>
      <c r="EO16" t="s">
        <v>196</v>
      </c>
      <c r="EP16" t="str">
        <f t="shared" si="0"/>
        <v>Active</v>
      </c>
    </row>
    <row r="17" spans="1:146">
      <c r="A17" t="s">
        <v>3</v>
      </c>
      <c r="B17" t="s">
        <v>359</v>
      </c>
      <c r="C17" t="s">
        <v>19</v>
      </c>
      <c r="D17" t="s">
        <v>172</v>
      </c>
      <c r="E17" t="s">
        <v>7</v>
      </c>
      <c r="F17" t="s">
        <v>360</v>
      </c>
      <c r="G17" t="s">
        <v>361</v>
      </c>
      <c r="H17" t="s">
        <v>362</v>
      </c>
      <c r="I17" t="s">
        <v>363</v>
      </c>
      <c r="J17" t="s">
        <v>364</v>
      </c>
      <c r="K17" t="s">
        <v>212</v>
      </c>
      <c r="L17" t="s">
        <v>262</v>
      </c>
      <c r="M17" t="s">
        <v>362</v>
      </c>
      <c r="N17">
        <v>1741267</v>
      </c>
      <c r="O17">
        <v>1741268</v>
      </c>
      <c r="P17" t="s">
        <v>365</v>
      </c>
      <c r="Q17" t="s">
        <v>366</v>
      </c>
      <c r="R17" t="s">
        <v>367</v>
      </c>
      <c r="S17" t="b">
        <v>1</v>
      </c>
      <c r="T17" t="s">
        <v>368</v>
      </c>
      <c r="U17" s="1">
        <v>349000000000</v>
      </c>
      <c r="V17" t="s">
        <v>184</v>
      </c>
      <c r="W17">
        <v>95711</v>
      </c>
      <c r="X17" t="s">
        <v>369</v>
      </c>
      <c r="Y17" t="s">
        <v>370</v>
      </c>
      <c r="Z17" t="s">
        <v>196</v>
      </c>
      <c r="AA17" t="s">
        <v>371</v>
      </c>
      <c r="AB17" t="s">
        <v>188</v>
      </c>
      <c r="AC17" t="s">
        <v>201</v>
      </c>
      <c r="AD17" t="s">
        <v>202</v>
      </c>
      <c r="AE17" t="s">
        <v>531</v>
      </c>
      <c r="AF17" t="s">
        <v>532</v>
      </c>
      <c r="AG17" t="s">
        <v>196</v>
      </c>
      <c r="AH17" t="s">
        <v>374</v>
      </c>
      <c r="AI17">
        <v>20241111</v>
      </c>
      <c r="AJ17">
        <v>20241129</v>
      </c>
      <c r="AK17" t="s">
        <v>196</v>
      </c>
      <c r="AL17">
        <v>20241211</v>
      </c>
      <c r="AM17" t="s">
        <v>533</v>
      </c>
      <c r="AN17" t="s">
        <v>196</v>
      </c>
      <c r="AO17" t="s">
        <v>376</v>
      </c>
      <c r="AP17" t="s">
        <v>196</v>
      </c>
      <c r="AQ17">
        <v>1741270</v>
      </c>
      <c r="AR17" t="s">
        <v>377</v>
      </c>
      <c r="AS17" t="s">
        <v>378</v>
      </c>
      <c r="AT17" t="s">
        <v>379</v>
      </c>
      <c r="AU17" t="s">
        <v>380</v>
      </c>
      <c r="AV17" t="s">
        <v>381</v>
      </c>
      <c r="AW17" t="s">
        <v>196</v>
      </c>
      <c r="AX17" t="s">
        <v>196</v>
      </c>
      <c r="AY17" t="s">
        <v>196</v>
      </c>
      <c r="AZ17" t="s">
        <v>196</v>
      </c>
      <c r="BA17" t="s">
        <v>196</v>
      </c>
      <c r="BB17" t="s">
        <v>196</v>
      </c>
      <c r="BC17" t="s">
        <v>196</v>
      </c>
      <c r="BD17" s="1">
        <v>349000000000</v>
      </c>
      <c r="BE17" t="s">
        <v>196</v>
      </c>
      <c r="BF17" t="s">
        <v>196</v>
      </c>
      <c r="BG17" t="s">
        <v>196</v>
      </c>
      <c r="BH17" t="s">
        <v>196</v>
      </c>
      <c r="BI17" t="s">
        <v>196</v>
      </c>
      <c r="BJ17" t="s">
        <v>196</v>
      </c>
      <c r="BK17" t="s">
        <v>196</v>
      </c>
      <c r="BL17" t="s">
        <v>196</v>
      </c>
      <c r="BM17" t="s">
        <v>196</v>
      </c>
      <c r="BN17" t="s">
        <v>196</v>
      </c>
      <c r="BO17" t="s">
        <v>196</v>
      </c>
      <c r="BP17">
        <v>1741271</v>
      </c>
      <c r="BQ17" t="s">
        <v>382</v>
      </c>
      <c r="BR17" t="s">
        <v>383</v>
      </c>
      <c r="BS17" t="s">
        <v>384</v>
      </c>
      <c r="BT17" t="s">
        <v>385</v>
      </c>
      <c r="BU17" t="s">
        <v>196</v>
      </c>
      <c r="BV17" t="s">
        <v>196</v>
      </c>
      <c r="BW17" t="s">
        <v>196</v>
      </c>
      <c r="BX17" t="s">
        <v>196</v>
      </c>
      <c r="BY17" t="s">
        <v>196</v>
      </c>
      <c r="BZ17" t="s">
        <v>196</v>
      </c>
      <c r="CA17" t="s">
        <v>196</v>
      </c>
      <c r="CB17" t="s">
        <v>196</v>
      </c>
      <c r="CC17" t="s">
        <v>196</v>
      </c>
      <c r="CD17" t="s">
        <v>196</v>
      </c>
      <c r="CE17" t="s">
        <v>196</v>
      </c>
      <c r="CF17" t="s">
        <v>196</v>
      </c>
      <c r="CG17" t="s">
        <v>196</v>
      </c>
      <c r="CH17" t="s">
        <v>196</v>
      </c>
      <c r="CI17" t="s">
        <v>196</v>
      </c>
      <c r="CJ17" t="s">
        <v>196</v>
      </c>
      <c r="CK17" t="s">
        <v>196</v>
      </c>
      <c r="CL17" t="s">
        <v>196</v>
      </c>
      <c r="CM17" t="s">
        <v>196</v>
      </c>
      <c r="CN17" t="s">
        <v>196</v>
      </c>
      <c r="CO17" t="s">
        <v>196</v>
      </c>
      <c r="CP17" t="s">
        <v>196</v>
      </c>
      <c r="CQ17" t="s">
        <v>196</v>
      </c>
      <c r="CR17" t="s">
        <v>196</v>
      </c>
      <c r="CS17" t="s">
        <v>196</v>
      </c>
      <c r="CT17" t="s">
        <v>196</v>
      </c>
      <c r="CU17" t="s">
        <v>196</v>
      </c>
      <c r="CV17" t="s">
        <v>196</v>
      </c>
      <c r="CW17" t="s">
        <v>196</v>
      </c>
      <c r="CX17" t="s">
        <v>196</v>
      </c>
      <c r="CY17" t="s">
        <v>196</v>
      </c>
      <c r="CZ17" t="s">
        <v>196</v>
      </c>
      <c r="DA17" t="s">
        <v>196</v>
      </c>
      <c r="DB17" t="s">
        <v>196</v>
      </c>
      <c r="DC17" t="s">
        <v>196</v>
      </c>
      <c r="DD17" t="s">
        <v>196</v>
      </c>
      <c r="DE17" t="s">
        <v>196</v>
      </c>
      <c r="DF17" t="s">
        <v>196</v>
      </c>
      <c r="DG17" t="s">
        <v>196</v>
      </c>
      <c r="DH17" t="s">
        <v>196</v>
      </c>
      <c r="DI17" t="s">
        <v>196</v>
      </c>
      <c r="DJ17" t="s">
        <v>196</v>
      </c>
      <c r="DK17" t="s">
        <v>196</v>
      </c>
      <c r="DL17" t="s">
        <v>196</v>
      </c>
      <c r="DM17" t="s">
        <v>196</v>
      </c>
      <c r="DN17" t="s">
        <v>196</v>
      </c>
      <c r="DO17" t="s">
        <v>196</v>
      </c>
      <c r="DP17" t="s">
        <v>196</v>
      </c>
      <c r="DQ17" t="s">
        <v>196</v>
      </c>
      <c r="DR17" t="s">
        <v>196</v>
      </c>
      <c r="DS17" t="s">
        <v>196</v>
      </c>
      <c r="DT17" t="s">
        <v>196</v>
      </c>
      <c r="DU17" t="s">
        <v>196</v>
      </c>
      <c r="DV17" t="s">
        <v>196</v>
      </c>
      <c r="DW17" t="s">
        <v>196</v>
      </c>
      <c r="DX17" t="s">
        <v>196</v>
      </c>
      <c r="DY17" t="s">
        <v>196</v>
      </c>
      <c r="DZ17" t="s">
        <v>196</v>
      </c>
      <c r="EA17" t="s">
        <v>196</v>
      </c>
      <c r="EB17" t="s">
        <v>196</v>
      </c>
      <c r="EC17" t="s">
        <v>196</v>
      </c>
      <c r="ED17" t="s">
        <v>196</v>
      </c>
      <c r="EE17" t="s">
        <v>196</v>
      </c>
      <c r="EF17" t="s">
        <v>196</v>
      </c>
      <c r="EG17" t="s">
        <v>196</v>
      </c>
      <c r="EH17" t="s">
        <v>196</v>
      </c>
      <c r="EI17" t="s">
        <v>196</v>
      </c>
      <c r="EJ17" t="s">
        <v>196</v>
      </c>
      <c r="EK17" t="s">
        <v>196</v>
      </c>
      <c r="EL17" t="s">
        <v>196</v>
      </c>
      <c r="EM17" t="s">
        <v>196</v>
      </c>
      <c r="EN17" t="s">
        <v>196</v>
      </c>
      <c r="EO17" t="s">
        <v>196</v>
      </c>
      <c r="EP17" t="str">
        <f t="shared" si="0"/>
        <v>Active</v>
      </c>
    </row>
    <row r="18" spans="1:146">
      <c r="A18" t="s">
        <v>4</v>
      </c>
      <c r="B18" t="s">
        <v>241</v>
      </c>
      <c r="C18" t="s">
        <v>12</v>
      </c>
      <c r="D18" t="s">
        <v>172</v>
      </c>
      <c r="E18" t="s">
        <v>6</v>
      </c>
      <c r="F18" t="s">
        <v>534</v>
      </c>
      <c r="G18" t="s">
        <v>535</v>
      </c>
      <c r="H18" t="s">
        <v>535</v>
      </c>
      <c r="I18" t="s">
        <v>244</v>
      </c>
      <c r="J18" t="s">
        <v>536</v>
      </c>
      <c r="K18" t="s">
        <v>212</v>
      </c>
      <c r="L18" t="s">
        <v>262</v>
      </c>
      <c r="M18" t="s">
        <v>535</v>
      </c>
      <c r="N18">
        <v>1808217</v>
      </c>
      <c r="O18">
        <v>1808222</v>
      </c>
      <c r="P18" t="s">
        <v>537</v>
      </c>
      <c r="Q18" t="s">
        <v>538</v>
      </c>
      <c r="R18" t="s">
        <v>539</v>
      </c>
      <c r="S18" t="b">
        <v>1</v>
      </c>
      <c r="T18" t="s">
        <v>540</v>
      </c>
      <c r="U18" t="s">
        <v>196</v>
      </c>
      <c r="V18" t="s">
        <v>184</v>
      </c>
      <c r="W18">
        <v>69573</v>
      </c>
      <c r="X18" t="s">
        <v>541</v>
      </c>
      <c r="Y18" t="s">
        <v>542</v>
      </c>
      <c r="Z18" t="s">
        <v>196</v>
      </c>
      <c r="AA18" t="s">
        <v>543</v>
      </c>
      <c r="AB18" t="s">
        <v>188</v>
      </c>
      <c r="AC18" t="s">
        <v>544</v>
      </c>
      <c r="AD18" t="s">
        <v>545</v>
      </c>
      <c r="AE18" t="s">
        <v>546</v>
      </c>
      <c r="AF18" t="s">
        <v>547</v>
      </c>
      <c r="AG18" t="s">
        <v>548</v>
      </c>
      <c r="AH18" t="s">
        <v>549</v>
      </c>
      <c r="AI18">
        <v>20141006</v>
      </c>
      <c r="AJ18">
        <v>20150213</v>
      </c>
      <c r="AK18">
        <v>20161215</v>
      </c>
      <c r="AL18">
        <v>20150225</v>
      </c>
      <c r="AM18" t="s">
        <v>550</v>
      </c>
      <c r="AN18" t="s">
        <v>196</v>
      </c>
      <c r="AO18" t="s">
        <v>551</v>
      </c>
      <c r="AP18" t="s">
        <v>196</v>
      </c>
      <c r="AQ18">
        <v>1808224</v>
      </c>
      <c r="AR18" t="s">
        <v>552</v>
      </c>
      <c r="AS18" t="s">
        <v>553</v>
      </c>
      <c r="AT18" t="s">
        <v>554</v>
      </c>
      <c r="AU18" t="s">
        <v>555</v>
      </c>
      <c r="AV18" t="s">
        <v>556</v>
      </c>
      <c r="AW18" t="s">
        <v>557</v>
      </c>
      <c r="AX18" t="s">
        <v>558</v>
      </c>
      <c r="AY18" t="s">
        <v>196</v>
      </c>
      <c r="AZ18" t="s">
        <v>196</v>
      </c>
      <c r="BA18" t="s">
        <v>196</v>
      </c>
      <c r="BB18" t="s">
        <v>196</v>
      </c>
      <c r="BC18" t="s">
        <v>196</v>
      </c>
      <c r="BD18" t="s">
        <v>196</v>
      </c>
      <c r="BE18" t="s">
        <v>196</v>
      </c>
      <c r="BF18" t="s">
        <v>196</v>
      </c>
      <c r="BG18" t="s">
        <v>196</v>
      </c>
      <c r="BH18" t="s">
        <v>196</v>
      </c>
      <c r="BI18" t="s">
        <v>196</v>
      </c>
      <c r="BJ18" t="s">
        <v>196</v>
      </c>
      <c r="BK18" t="s">
        <v>196</v>
      </c>
      <c r="BL18" t="s">
        <v>196</v>
      </c>
      <c r="BM18" t="s">
        <v>196</v>
      </c>
      <c r="BN18" t="s">
        <v>196</v>
      </c>
      <c r="BO18" t="s">
        <v>196</v>
      </c>
      <c r="BP18" t="s">
        <v>196</v>
      </c>
      <c r="BQ18" t="s">
        <v>559</v>
      </c>
      <c r="BR18" t="s">
        <v>560</v>
      </c>
      <c r="BS18" t="s">
        <v>196</v>
      </c>
      <c r="BT18" t="s">
        <v>561</v>
      </c>
      <c r="BU18" t="s">
        <v>196</v>
      </c>
      <c r="BV18" t="s">
        <v>196</v>
      </c>
      <c r="BW18" t="s">
        <v>196</v>
      </c>
      <c r="BX18" t="s">
        <v>196</v>
      </c>
      <c r="BY18" t="s">
        <v>196</v>
      </c>
      <c r="BZ18" t="s">
        <v>196</v>
      </c>
      <c r="CA18" t="s">
        <v>196</v>
      </c>
      <c r="CB18" t="s">
        <v>196</v>
      </c>
      <c r="CC18" t="s">
        <v>196</v>
      </c>
      <c r="CD18" t="s">
        <v>196</v>
      </c>
      <c r="CE18" t="s">
        <v>196</v>
      </c>
      <c r="CF18" t="s">
        <v>196</v>
      </c>
      <c r="CG18" t="s">
        <v>196</v>
      </c>
      <c r="CH18" t="s">
        <v>196</v>
      </c>
      <c r="CI18" t="s">
        <v>196</v>
      </c>
      <c r="CJ18" t="s">
        <v>196</v>
      </c>
      <c r="CK18" t="s">
        <v>196</v>
      </c>
      <c r="CL18" t="s">
        <v>196</v>
      </c>
      <c r="CM18" t="s">
        <v>196</v>
      </c>
      <c r="CN18" t="s">
        <v>196</v>
      </c>
      <c r="CO18" t="s">
        <v>196</v>
      </c>
      <c r="CP18" t="s">
        <v>196</v>
      </c>
      <c r="CQ18" t="s">
        <v>196</v>
      </c>
      <c r="CR18" t="s">
        <v>196</v>
      </c>
      <c r="CS18" t="s">
        <v>196</v>
      </c>
      <c r="CT18" t="s">
        <v>196</v>
      </c>
      <c r="CU18" t="s">
        <v>196</v>
      </c>
      <c r="CV18" t="s">
        <v>196</v>
      </c>
      <c r="CW18" t="s">
        <v>196</v>
      </c>
      <c r="CX18" t="s">
        <v>196</v>
      </c>
      <c r="CY18" t="s">
        <v>196</v>
      </c>
      <c r="CZ18" t="s">
        <v>196</v>
      </c>
      <c r="DA18" t="s">
        <v>562</v>
      </c>
      <c r="DB18" t="s">
        <v>196</v>
      </c>
      <c r="DC18" t="s">
        <v>196</v>
      </c>
      <c r="DD18" t="s">
        <v>196</v>
      </c>
      <c r="DE18" t="s">
        <v>196</v>
      </c>
      <c r="DF18" t="s">
        <v>196</v>
      </c>
      <c r="DG18" t="s">
        <v>196</v>
      </c>
      <c r="DH18" t="s">
        <v>196</v>
      </c>
      <c r="DI18" t="s">
        <v>196</v>
      </c>
      <c r="DJ18" t="s">
        <v>196</v>
      </c>
      <c r="DK18" t="s">
        <v>196</v>
      </c>
      <c r="DL18" t="s">
        <v>196</v>
      </c>
      <c r="DM18" t="s">
        <v>196</v>
      </c>
      <c r="DN18" t="s">
        <v>196</v>
      </c>
      <c r="DO18" t="s">
        <v>196</v>
      </c>
      <c r="DP18" t="s">
        <v>196</v>
      </c>
      <c r="DQ18" t="s">
        <v>196</v>
      </c>
      <c r="DR18" t="s">
        <v>196</v>
      </c>
      <c r="DS18" t="s">
        <v>196</v>
      </c>
      <c r="DT18" t="s">
        <v>196</v>
      </c>
      <c r="DU18" t="s">
        <v>196</v>
      </c>
      <c r="DV18" t="s">
        <v>196</v>
      </c>
      <c r="DW18" t="s">
        <v>196</v>
      </c>
      <c r="DX18" t="s">
        <v>196</v>
      </c>
      <c r="DY18" t="s">
        <v>196</v>
      </c>
      <c r="DZ18" t="s">
        <v>196</v>
      </c>
      <c r="EA18" t="s">
        <v>196</v>
      </c>
      <c r="EB18" t="s">
        <v>196</v>
      </c>
      <c r="EC18" t="s">
        <v>196</v>
      </c>
      <c r="ED18" t="s">
        <v>196</v>
      </c>
      <c r="EE18" t="s">
        <v>196</v>
      </c>
      <c r="EF18" t="s">
        <v>196</v>
      </c>
      <c r="EG18" t="s">
        <v>196</v>
      </c>
      <c r="EH18" t="s">
        <v>196</v>
      </c>
      <c r="EI18" t="s">
        <v>196</v>
      </c>
      <c r="EJ18" t="s">
        <v>196</v>
      </c>
      <c r="EK18" t="s">
        <v>196</v>
      </c>
      <c r="EL18" t="s">
        <v>196</v>
      </c>
      <c r="EM18" t="s">
        <v>196</v>
      </c>
      <c r="EN18" t="s">
        <v>196</v>
      </c>
      <c r="EO18" t="s">
        <v>196</v>
      </c>
      <c r="EP18" t="str">
        <f t="shared" si="0"/>
        <v>Inactive</v>
      </c>
    </row>
    <row r="19" spans="1:146">
      <c r="A19" t="s">
        <v>4</v>
      </c>
      <c r="B19" t="s">
        <v>171</v>
      </c>
      <c r="C19" t="s">
        <v>18</v>
      </c>
      <c r="D19" t="s">
        <v>172</v>
      </c>
      <c r="E19" t="s">
        <v>7</v>
      </c>
      <c r="F19" t="s">
        <v>173</v>
      </c>
      <c r="G19" t="s">
        <v>174</v>
      </c>
      <c r="H19" t="s">
        <v>175</v>
      </c>
      <c r="I19" t="s">
        <v>176</v>
      </c>
      <c r="J19" t="s">
        <v>177</v>
      </c>
      <c r="K19" t="s">
        <v>178</v>
      </c>
      <c r="L19" t="s">
        <v>179</v>
      </c>
      <c r="M19" t="s">
        <v>175</v>
      </c>
      <c r="N19">
        <v>705934</v>
      </c>
      <c r="O19">
        <v>705936</v>
      </c>
      <c r="P19" t="s">
        <v>180</v>
      </c>
      <c r="Q19" t="s">
        <v>181</v>
      </c>
      <c r="R19" t="s">
        <v>182</v>
      </c>
      <c r="S19" t="b">
        <v>1</v>
      </c>
      <c r="T19" t="s">
        <v>183</v>
      </c>
      <c r="U19" s="1">
        <v>311000000000</v>
      </c>
      <c r="V19" t="s">
        <v>184</v>
      </c>
      <c r="W19">
        <v>88677</v>
      </c>
      <c r="X19" t="s">
        <v>185</v>
      </c>
      <c r="Y19" t="s">
        <v>186</v>
      </c>
      <c r="Z19" t="s">
        <v>16</v>
      </c>
      <c r="AA19" t="s">
        <v>187</v>
      </c>
      <c r="AB19" t="s">
        <v>188</v>
      </c>
      <c r="AC19" t="s">
        <v>189</v>
      </c>
      <c r="AD19" t="s">
        <v>190</v>
      </c>
      <c r="AE19" t="s">
        <v>563</v>
      </c>
      <c r="AF19" t="s">
        <v>564</v>
      </c>
      <c r="AG19" t="s">
        <v>193</v>
      </c>
      <c r="AH19" t="s">
        <v>270</v>
      </c>
      <c r="AI19">
        <v>20211001</v>
      </c>
      <c r="AJ19">
        <v>20211118</v>
      </c>
      <c r="AK19">
        <v>20230626</v>
      </c>
      <c r="AL19">
        <v>20211124</v>
      </c>
      <c r="AM19" t="s">
        <v>565</v>
      </c>
      <c r="AN19" t="s">
        <v>196</v>
      </c>
      <c r="AO19" t="s">
        <v>196</v>
      </c>
      <c r="AP19" t="s">
        <v>196</v>
      </c>
      <c r="AQ19" t="s">
        <v>196</v>
      </c>
      <c r="AR19" t="s">
        <v>196</v>
      </c>
      <c r="AS19" t="s">
        <v>196</v>
      </c>
      <c r="AT19" t="s">
        <v>196</v>
      </c>
      <c r="AU19" t="s">
        <v>196</v>
      </c>
      <c r="AV19" t="s">
        <v>196</v>
      </c>
      <c r="AW19" t="s">
        <v>196</v>
      </c>
      <c r="AX19" t="s">
        <v>196</v>
      </c>
      <c r="AY19" t="s">
        <v>196</v>
      </c>
      <c r="AZ19" t="s">
        <v>196</v>
      </c>
      <c r="BA19" t="s">
        <v>196</v>
      </c>
      <c r="BB19" t="s">
        <v>196</v>
      </c>
      <c r="BC19" t="s">
        <v>196</v>
      </c>
      <c r="BD19" s="1" t="s">
        <v>196</v>
      </c>
      <c r="BE19" t="s">
        <v>196</v>
      </c>
      <c r="BF19" t="s">
        <v>196</v>
      </c>
      <c r="BG19" t="s">
        <v>196</v>
      </c>
      <c r="BH19" t="s">
        <v>196</v>
      </c>
      <c r="BI19" t="s">
        <v>196</v>
      </c>
      <c r="BJ19" t="s">
        <v>196</v>
      </c>
      <c r="BK19" t="s">
        <v>196</v>
      </c>
      <c r="BL19" t="s">
        <v>196</v>
      </c>
      <c r="BM19" t="s">
        <v>196</v>
      </c>
      <c r="BN19" t="s">
        <v>196</v>
      </c>
      <c r="BO19" t="s">
        <v>196</v>
      </c>
      <c r="BP19" t="s">
        <v>196</v>
      </c>
      <c r="BQ19" t="s">
        <v>196</v>
      </c>
      <c r="BR19" t="s">
        <v>196</v>
      </c>
      <c r="BS19" t="s">
        <v>196</v>
      </c>
      <c r="BT19" t="s">
        <v>196</v>
      </c>
      <c r="BU19" t="s">
        <v>196</v>
      </c>
      <c r="BV19" t="s">
        <v>196</v>
      </c>
      <c r="BW19" t="s">
        <v>196</v>
      </c>
      <c r="BX19" t="s">
        <v>196</v>
      </c>
      <c r="BY19" t="s">
        <v>196</v>
      </c>
      <c r="BZ19" t="s">
        <v>196</v>
      </c>
      <c r="CA19" t="s">
        <v>196</v>
      </c>
      <c r="CB19" t="s">
        <v>196</v>
      </c>
      <c r="CC19" t="s">
        <v>196</v>
      </c>
      <c r="CD19" t="s">
        <v>196</v>
      </c>
      <c r="CE19" t="s">
        <v>196</v>
      </c>
      <c r="CF19" t="s">
        <v>196</v>
      </c>
      <c r="CG19" t="s">
        <v>196</v>
      </c>
      <c r="CH19" t="s">
        <v>196</v>
      </c>
      <c r="CI19" t="s">
        <v>196</v>
      </c>
      <c r="CJ19" t="s">
        <v>196</v>
      </c>
      <c r="CK19" t="s">
        <v>196</v>
      </c>
      <c r="CL19" t="s">
        <v>196</v>
      </c>
      <c r="CM19" t="s">
        <v>196</v>
      </c>
      <c r="CN19" t="s">
        <v>196</v>
      </c>
      <c r="CO19" t="s">
        <v>196</v>
      </c>
      <c r="CP19" t="s">
        <v>196</v>
      </c>
      <c r="CQ19" t="s">
        <v>196</v>
      </c>
      <c r="CR19" t="s">
        <v>196</v>
      </c>
      <c r="CS19" t="s">
        <v>196</v>
      </c>
      <c r="CT19" t="s">
        <v>196</v>
      </c>
      <c r="CU19" t="s">
        <v>196</v>
      </c>
      <c r="CV19" t="s">
        <v>196</v>
      </c>
      <c r="CW19" t="s">
        <v>196</v>
      </c>
      <c r="CX19" t="s">
        <v>196</v>
      </c>
      <c r="CY19" t="s">
        <v>196</v>
      </c>
      <c r="CZ19" t="s">
        <v>196</v>
      </c>
      <c r="DA19" t="s">
        <v>196</v>
      </c>
      <c r="DB19" t="s">
        <v>196</v>
      </c>
      <c r="DC19" t="s">
        <v>196</v>
      </c>
      <c r="DD19" t="s">
        <v>196</v>
      </c>
      <c r="DE19" t="s">
        <v>196</v>
      </c>
      <c r="DF19" t="s">
        <v>196</v>
      </c>
      <c r="DG19" t="s">
        <v>196</v>
      </c>
      <c r="DH19" t="s">
        <v>196</v>
      </c>
      <c r="DI19" t="s">
        <v>196</v>
      </c>
      <c r="DJ19" t="s">
        <v>196</v>
      </c>
      <c r="DK19" t="s">
        <v>196</v>
      </c>
      <c r="DL19" t="s">
        <v>196</v>
      </c>
      <c r="DM19" t="s">
        <v>196</v>
      </c>
      <c r="DN19" t="s">
        <v>196</v>
      </c>
      <c r="DO19" t="s">
        <v>196</v>
      </c>
      <c r="DP19" t="s">
        <v>196</v>
      </c>
      <c r="DQ19" t="s">
        <v>196</v>
      </c>
      <c r="DR19" t="s">
        <v>196</v>
      </c>
      <c r="DS19" t="s">
        <v>196</v>
      </c>
      <c r="DT19" t="s">
        <v>196</v>
      </c>
      <c r="DU19" t="s">
        <v>196</v>
      </c>
      <c r="DV19" t="s">
        <v>196</v>
      </c>
      <c r="DW19" t="s">
        <v>196</v>
      </c>
      <c r="DX19" t="s">
        <v>196</v>
      </c>
      <c r="DY19" t="s">
        <v>196</v>
      </c>
      <c r="DZ19" t="s">
        <v>196</v>
      </c>
      <c r="EA19" t="s">
        <v>196</v>
      </c>
      <c r="EB19" t="s">
        <v>196</v>
      </c>
      <c r="EC19" t="s">
        <v>196</v>
      </c>
      <c r="ED19" t="s">
        <v>196</v>
      </c>
      <c r="EE19" t="s">
        <v>196</v>
      </c>
      <c r="EF19" t="s">
        <v>196</v>
      </c>
      <c r="EG19" t="s">
        <v>196</v>
      </c>
      <c r="EH19" t="s">
        <v>196</v>
      </c>
      <c r="EI19" t="s">
        <v>196</v>
      </c>
      <c r="EJ19" t="s">
        <v>196</v>
      </c>
      <c r="EK19" t="s">
        <v>196</v>
      </c>
      <c r="EL19" t="s">
        <v>196</v>
      </c>
      <c r="EM19" t="s">
        <v>196</v>
      </c>
      <c r="EN19" t="s">
        <v>196</v>
      </c>
      <c r="EO19" t="s">
        <v>196</v>
      </c>
      <c r="EP19" t="str">
        <f t="shared" si="0"/>
        <v>Inactive</v>
      </c>
    </row>
    <row r="20" spans="1:146">
      <c r="A20" t="s">
        <v>4</v>
      </c>
      <c r="B20" t="s">
        <v>566</v>
      </c>
      <c r="C20" t="s">
        <v>18</v>
      </c>
      <c r="D20" t="s">
        <v>172</v>
      </c>
      <c r="E20" t="s">
        <v>8</v>
      </c>
      <c r="F20" t="s">
        <v>567</v>
      </c>
      <c r="G20" t="s">
        <v>568</v>
      </c>
      <c r="H20" t="s">
        <v>568</v>
      </c>
      <c r="I20" t="s">
        <v>569</v>
      </c>
      <c r="J20" t="s">
        <v>570</v>
      </c>
      <c r="K20" t="s">
        <v>212</v>
      </c>
      <c r="L20" t="s">
        <v>213</v>
      </c>
      <c r="M20" t="s">
        <v>571</v>
      </c>
      <c r="N20">
        <v>404011</v>
      </c>
      <c r="O20">
        <v>404013</v>
      </c>
      <c r="P20" t="s">
        <v>572</v>
      </c>
      <c r="Q20" t="s">
        <v>573</v>
      </c>
      <c r="R20" t="s">
        <v>574</v>
      </c>
      <c r="S20" t="b">
        <v>1</v>
      </c>
      <c r="T20" t="s">
        <v>575</v>
      </c>
      <c r="U20" s="1">
        <v>344000000000</v>
      </c>
      <c r="V20" t="s">
        <v>184</v>
      </c>
      <c r="W20">
        <v>71375</v>
      </c>
      <c r="X20" t="s">
        <v>576</v>
      </c>
      <c r="Y20" t="s">
        <v>577</v>
      </c>
      <c r="Z20" t="s">
        <v>196</v>
      </c>
      <c r="AA20" t="s">
        <v>578</v>
      </c>
      <c r="AB20" t="s">
        <v>188</v>
      </c>
      <c r="AC20" t="s">
        <v>201</v>
      </c>
      <c r="AD20" t="s">
        <v>253</v>
      </c>
      <c r="AE20" t="s">
        <v>579</v>
      </c>
      <c r="AF20" t="s">
        <v>580</v>
      </c>
      <c r="AG20" t="s">
        <v>196</v>
      </c>
      <c r="AH20" t="s">
        <v>400</v>
      </c>
      <c r="AI20">
        <v>20150506</v>
      </c>
      <c r="AJ20">
        <v>20150618</v>
      </c>
      <c r="AK20">
        <v>20160331</v>
      </c>
      <c r="AL20">
        <v>20150624</v>
      </c>
      <c r="AM20" t="s">
        <v>581</v>
      </c>
      <c r="AN20" t="s">
        <v>196</v>
      </c>
      <c r="AO20" t="s">
        <v>582</v>
      </c>
      <c r="AP20" t="s">
        <v>583</v>
      </c>
      <c r="AQ20">
        <v>597967</v>
      </c>
      <c r="AR20" t="s">
        <v>584</v>
      </c>
      <c r="AS20" t="s">
        <v>585</v>
      </c>
      <c r="AT20" t="s">
        <v>586</v>
      </c>
      <c r="AU20" t="s">
        <v>587</v>
      </c>
      <c r="AV20" t="s">
        <v>588</v>
      </c>
      <c r="AW20" t="s">
        <v>589</v>
      </c>
      <c r="AX20" t="s">
        <v>590</v>
      </c>
      <c r="AY20" t="s">
        <v>591</v>
      </c>
      <c r="AZ20" t="s">
        <v>592</v>
      </c>
      <c r="BA20" t="s">
        <v>593</v>
      </c>
      <c r="BB20" t="s">
        <v>594</v>
      </c>
      <c r="BC20" t="s">
        <v>196</v>
      </c>
      <c r="BD20" s="1">
        <v>344000000000</v>
      </c>
      <c r="BE20" s="1">
        <v>344000000000</v>
      </c>
      <c r="BF20" t="s">
        <v>595</v>
      </c>
      <c r="BG20" t="s">
        <v>596</v>
      </c>
      <c r="BH20" t="s">
        <v>597</v>
      </c>
      <c r="BI20" t="s">
        <v>598</v>
      </c>
      <c r="BJ20" t="s">
        <v>599</v>
      </c>
      <c r="BK20" t="s">
        <v>600</v>
      </c>
      <c r="BL20" t="s">
        <v>601</v>
      </c>
      <c r="BM20" t="s">
        <v>602</v>
      </c>
      <c r="BN20" t="s">
        <v>603</v>
      </c>
      <c r="BO20" t="s">
        <v>604</v>
      </c>
      <c r="BP20">
        <v>597971</v>
      </c>
      <c r="BQ20" t="s">
        <v>196</v>
      </c>
      <c r="BR20" t="s">
        <v>196</v>
      </c>
      <c r="BS20" t="s">
        <v>196</v>
      </c>
      <c r="BT20" t="s">
        <v>196</v>
      </c>
      <c r="BU20" t="s">
        <v>605</v>
      </c>
      <c r="BV20" t="s">
        <v>606</v>
      </c>
      <c r="BW20" t="s">
        <v>607</v>
      </c>
      <c r="BX20" t="s">
        <v>608</v>
      </c>
      <c r="BY20" t="s">
        <v>609</v>
      </c>
      <c r="BZ20" t="s">
        <v>610</v>
      </c>
      <c r="CA20" t="s">
        <v>196</v>
      </c>
      <c r="CB20">
        <v>597974</v>
      </c>
      <c r="CC20">
        <v>597977</v>
      </c>
      <c r="CD20">
        <v>597980</v>
      </c>
      <c r="CE20">
        <v>597984</v>
      </c>
      <c r="CF20">
        <v>597987</v>
      </c>
      <c r="CG20">
        <v>597990</v>
      </c>
      <c r="CH20">
        <v>597993</v>
      </c>
      <c r="CI20" t="s">
        <v>196</v>
      </c>
      <c r="CJ20" t="s">
        <v>611</v>
      </c>
      <c r="CK20" t="s">
        <v>612</v>
      </c>
      <c r="CL20" t="s">
        <v>613</v>
      </c>
      <c r="CM20" t="s">
        <v>614</v>
      </c>
      <c r="CN20" s="1">
        <v>344000000000</v>
      </c>
      <c r="CO20" s="1">
        <v>344000000000</v>
      </c>
      <c r="CP20" s="1">
        <v>344000000000</v>
      </c>
      <c r="CQ20" s="1">
        <v>344000000000</v>
      </c>
      <c r="CR20" s="1">
        <v>344000000000</v>
      </c>
      <c r="CS20" s="1">
        <v>344000000000</v>
      </c>
      <c r="CT20" t="s">
        <v>196</v>
      </c>
      <c r="CU20" t="s">
        <v>196</v>
      </c>
      <c r="CV20" t="s">
        <v>196</v>
      </c>
      <c r="CW20" t="s">
        <v>615</v>
      </c>
      <c r="CX20" t="s">
        <v>196</v>
      </c>
      <c r="CY20" t="s">
        <v>196</v>
      </c>
      <c r="CZ20" t="s">
        <v>196</v>
      </c>
      <c r="DA20" t="s">
        <v>196</v>
      </c>
      <c r="DB20" t="s">
        <v>196</v>
      </c>
      <c r="DC20" t="s">
        <v>616</v>
      </c>
      <c r="DD20" t="s">
        <v>196</v>
      </c>
      <c r="DE20" t="s">
        <v>196</v>
      </c>
      <c r="DF20" t="s">
        <v>196</v>
      </c>
      <c r="DG20" t="s">
        <v>196</v>
      </c>
      <c r="DH20" t="s">
        <v>617</v>
      </c>
      <c r="DI20" t="s">
        <v>618</v>
      </c>
      <c r="DJ20" t="s">
        <v>619</v>
      </c>
      <c r="DK20" t="s">
        <v>620</v>
      </c>
      <c r="DL20" t="s">
        <v>621</v>
      </c>
      <c r="DM20" t="s">
        <v>622</v>
      </c>
      <c r="DN20" t="s">
        <v>623</v>
      </c>
      <c r="DO20" t="s">
        <v>624</v>
      </c>
      <c r="DP20" t="s">
        <v>625</v>
      </c>
      <c r="DQ20" t="s">
        <v>626</v>
      </c>
      <c r="DR20" t="s">
        <v>627</v>
      </c>
      <c r="DS20" t="s">
        <v>628</v>
      </c>
      <c r="DT20" t="s">
        <v>629</v>
      </c>
      <c r="DU20" t="s">
        <v>630</v>
      </c>
      <c r="DV20" t="s">
        <v>631</v>
      </c>
      <c r="DW20" t="s">
        <v>632</v>
      </c>
      <c r="DX20" t="s">
        <v>633</v>
      </c>
      <c r="DY20" t="s">
        <v>634</v>
      </c>
      <c r="DZ20" t="s">
        <v>635</v>
      </c>
      <c r="EA20" t="s">
        <v>636</v>
      </c>
      <c r="EB20" t="s">
        <v>196</v>
      </c>
      <c r="EC20" t="s">
        <v>196</v>
      </c>
      <c r="ED20" t="s">
        <v>196</v>
      </c>
      <c r="EE20" t="s">
        <v>196</v>
      </c>
      <c r="EF20" t="s">
        <v>196</v>
      </c>
      <c r="EG20" t="s">
        <v>196</v>
      </c>
      <c r="EH20" t="s">
        <v>196</v>
      </c>
      <c r="EI20" t="s">
        <v>196</v>
      </c>
      <c r="EJ20" t="s">
        <v>196</v>
      </c>
      <c r="EK20" t="s">
        <v>196</v>
      </c>
      <c r="EL20" t="s">
        <v>196</v>
      </c>
      <c r="EM20" t="s">
        <v>196</v>
      </c>
      <c r="EN20" t="s">
        <v>196</v>
      </c>
      <c r="EO20" t="s">
        <v>196</v>
      </c>
      <c r="EP20" t="str">
        <f t="shared" si="0"/>
        <v>Inactive</v>
      </c>
    </row>
    <row r="21" spans="1:146">
      <c r="A21" t="s">
        <v>3</v>
      </c>
      <c r="B21" t="s">
        <v>637</v>
      </c>
      <c r="C21" t="s">
        <v>16</v>
      </c>
      <c r="D21" t="s">
        <v>638</v>
      </c>
      <c r="E21" t="s">
        <v>7</v>
      </c>
      <c r="F21" t="s">
        <v>639</v>
      </c>
      <c r="G21" t="s">
        <v>640</v>
      </c>
      <c r="H21" t="s">
        <v>640</v>
      </c>
      <c r="I21" t="s">
        <v>641</v>
      </c>
      <c r="J21" t="s">
        <v>642</v>
      </c>
      <c r="K21" t="s">
        <v>212</v>
      </c>
      <c r="L21" t="s">
        <v>213</v>
      </c>
      <c r="M21" t="s">
        <v>571</v>
      </c>
      <c r="N21">
        <v>722126</v>
      </c>
      <c r="O21">
        <v>722131</v>
      </c>
      <c r="P21" t="s">
        <v>643</v>
      </c>
      <c r="Q21" t="s">
        <v>644</v>
      </c>
      <c r="R21" t="s">
        <v>645</v>
      </c>
      <c r="S21" t="b">
        <v>1</v>
      </c>
      <c r="T21" t="s">
        <v>646</v>
      </c>
      <c r="U21" s="1">
        <v>304000000000</v>
      </c>
      <c r="V21" t="s">
        <v>184</v>
      </c>
      <c r="W21">
        <v>81707</v>
      </c>
      <c r="X21" t="s">
        <v>647</v>
      </c>
      <c r="Y21" t="s">
        <v>648</v>
      </c>
      <c r="Z21" t="s">
        <v>16</v>
      </c>
      <c r="AA21" t="s">
        <v>16</v>
      </c>
      <c r="AB21" t="s">
        <v>188</v>
      </c>
      <c r="AC21" t="s">
        <v>189</v>
      </c>
      <c r="AD21" t="s">
        <v>649</v>
      </c>
      <c r="AE21" t="s">
        <v>650</v>
      </c>
      <c r="AF21" t="s">
        <v>651</v>
      </c>
      <c r="AG21" t="s">
        <v>652</v>
      </c>
      <c r="AH21" t="s">
        <v>653</v>
      </c>
      <c r="AI21">
        <v>20181204</v>
      </c>
      <c r="AJ21">
        <v>20181214</v>
      </c>
      <c r="AK21" t="s">
        <v>196</v>
      </c>
      <c r="AL21">
        <v>20181219</v>
      </c>
      <c r="AM21" t="s">
        <v>654</v>
      </c>
      <c r="AN21" t="s">
        <v>196</v>
      </c>
      <c r="AO21" t="s">
        <v>655</v>
      </c>
      <c r="AP21" t="s">
        <v>656</v>
      </c>
      <c r="AQ21">
        <v>722134</v>
      </c>
      <c r="AR21" t="s">
        <v>657</v>
      </c>
      <c r="AS21" t="s">
        <v>658</v>
      </c>
      <c r="AT21" t="s">
        <v>659</v>
      </c>
      <c r="AU21" t="s">
        <v>196</v>
      </c>
      <c r="AV21" t="s">
        <v>196</v>
      </c>
      <c r="AW21" t="s">
        <v>196</v>
      </c>
      <c r="AX21" t="s">
        <v>196</v>
      </c>
      <c r="AY21" t="s">
        <v>196</v>
      </c>
      <c r="AZ21" t="s">
        <v>196</v>
      </c>
      <c r="BA21" t="s">
        <v>196</v>
      </c>
      <c r="BB21" t="s">
        <v>196</v>
      </c>
      <c r="BC21" t="s">
        <v>196</v>
      </c>
      <c r="BD21" s="1">
        <v>304000000000</v>
      </c>
      <c r="BE21" s="1">
        <v>304000000000</v>
      </c>
      <c r="BF21" t="s">
        <v>660</v>
      </c>
      <c r="BG21" t="s">
        <v>196</v>
      </c>
      <c r="BH21" t="s">
        <v>196</v>
      </c>
      <c r="BI21" t="s">
        <v>196</v>
      </c>
      <c r="BJ21" t="s">
        <v>196</v>
      </c>
      <c r="BK21" t="s">
        <v>196</v>
      </c>
      <c r="BL21" t="s">
        <v>196</v>
      </c>
      <c r="BM21" t="s">
        <v>196</v>
      </c>
      <c r="BN21" t="s">
        <v>196</v>
      </c>
      <c r="BO21" t="s">
        <v>196</v>
      </c>
      <c r="BP21">
        <v>722137</v>
      </c>
      <c r="BQ21" t="s">
        <v>661</v>
      </c>
      <c r="BR21" t="s">
        <v>662</v>
      </c>
      <c r="BS21" t="s">
        <v>196</v>
      </c>
      <c r="BT21" t="s">
        <v>663</v>
      </c>
      <c r="BU21" t="s">
        <v>196</v>
      </c>
      <c r="BV21" t="s">
        <v>196</v>
      </c>
      <c r="BW21" t="s">
        <v>196</v>
      </c>
      <c r="BX21" t="s">
        <v>196</v>
      </c>
      <c r="BY21" t="s">
        <v>196</v>
      </c>
      <c r="BZ21" t="s">
        <v>196</v>
      </c>
      <c r="CA21" t="s">
        <v>196</v>
      </c>
      <c r="CB21" t="s">
        <v>196</v>
      </c>
      <c r="CC21" t="s">
        <v>196</v>
      </c>
      <c r="CD21" t="s">
        <v>196</v>
      </c>
      <c r="CE21" t="s">
        <v>196</v>
      </c>
      <c r="CF21" t="s">
        <v>196</v>
      </c>
      <c r="CG21" t="s">
        <v>196</v>
      </c>
      <c r="CH21" t="s">
        <v>196</v>
      </c>
      <c r="CI21" t="s">
        <v>196</v>
      </c>
      <c r="CJ21" t="s">
        <v>196</v>
      </c>
      <c r="CK21" t="s">
        <v>196</v>
      </c>
      <c r="CL21" t="s">
        <v>196</v>
      </c>
      <c r="CM21" t="s">
        <v>196</v>
      </c>
      <c r="CN21" s="1">
        <v>304000000000</v>
      </c>
      <c r="CO21" t="s">
        <v>196</v>
      </c>
      <c r="CP21" t="s">
        <v>196</v>
      </c>
      <c r="CQ21" t="s">
        <v>196</v>
      </c>
      <c r="CR21" t="s">
        <v>196</v>
      </c>
      <c r="CS21" t="s">
        <v>196</v>
      </c>
      <c r="CT21" t="s">
        <v>196</v>
      </c>
      <c r="CU21" t="s">
        <v>196</v>
      </c>
      <c r="CV21" t="s">
        <v>196</v>
      </c>
      <c r="CW21" t="s">
        <v>664</v>
      </c>
      <c r="CX21" t="s">
        <v>196</v>
      </c>
      <c r="CY21" t="s">
        <v>196</v>
      </c>
      <c r="CZ21" t="s">
        <v>196</v>
      </c>
      <c r="DA21" t="s">
        <v>196</v>
      </c>
      <c r="DB21" t="s">
        <v>196</v>
      </c>
      <c r="DC21" t="s">
        <v>616</v>
      </c>
      <c r="DD21" t="s">
        <v>196</v>
      </c>
      <c r="DE21" t="s">
        <v>196</v>
      </c>
      <c r="DF21" t="s">
        <v>196</v>
      </c>
      <c r="DG21" t="s">
        <v>196</v>
      </c>
      <c r="DH21" t="s">
        <v>196</v>
      </c>
      <c r="DI21" t="s">
        <v>196</v>
      </c>
      <c r="DJ21" t="s">
        <v>196</v>
      </c>
      <c r="DK21" t="s">
        <v>196</v>
      </c>
      <c r="DL21" t="s">
        <v>196</v>
      </c>
      <c r="DM21" t="s">
        <v>196</v>
      </c>
      <c r="DN21" t="s">
        <v>196</v>
      </c>
      <c r="DO21" t="s">
        <v>196</v>
      </c>
      <c r="DP21" t="s">
        <v>196</v>
      </c>
      <c r="DQ21" t="s">
        <v>196</v>
      </c>
      <c r="DR21" t="s">
        <v>196</v>
      </c>
      <c r="DS21" t="s">
        <v>196</v>
      </c>
      <c r="DT21" t="s">
        <v>196</v>
      </c>
      <c r="DU21" t="s">
        <v>196</v>
      </c>
      <c r="DV21" t="s">
        <v>196</v>
      </c>
      <c r="DW21" t="s">
        <v>196</v>
      </c>
      <c r="DX21" t="s">
        <v>196</v>
      </c>
      <c r="DY21" t="s">
        <v>196</v>
      </c>
      <c r="DZ21" t="s">
        <v>196</v>
      </c>
      <c r="EA21" t="s">
        <v>196</v>
      </c>
      <c r="EB21" t="s">
        <v>665</v>
      </c>
      <c r="EC21" t="s">
        <v>196</v>
      </c>
      <c r="ED21" t="s">
        <v>196</v>
      </c>
      <c r="EE21" t="s">
        <v>196</v>
      </c>
      <c r="EF21" t="s">
        <v>196</v>
      </c>
      <c r="EG21" t="s">
        <v>196</v>
      </c>
      <c r="EH21" t="s">
        <v>196</v>
      </c>
      <c r="EI21" t="s">
        <v>196</v>
      </c>
      <c r="EJ21" t="s">
        <v>196</v>
      </c>
      <c r="EK21" t="s">
        <v>196</v>
      </c>
      <c r="EL21" t="s">
        <v>196</v>
      </c>
      <c r="EM21" t="s">
        <v>196</v>
      </c>
      <c r="EN21" t="s">
        <v>196</v>
      </c>
      <c r="EO21" t="s">
        <v>196</v>
      </c>
      <c r="EP21" t="str">
        <f t="shared" si="0"/>
        <v>Active</v>
      </c>
    </row>
    <row r="22" spans="1:146">
      <c r="A22" t="s">
        <v>3</v>
      </c>
      <c r="B22" t="s">
        <v>666</v>
      </c>
      <c r="C22" t="s">
        <v>13</v>
      </c>
      <c r="D22" t="s">
        <v>172</v>
      </c>
      <c r="E22" t="s">
        <v>7</v>
      </c>
      <c r="F22" t="s">
        <v>667</v>
      </c>
      <c r="G22" t="s">
        <v>668</v>
      </c>
      <c r="H22" t="s">
        <v>668</v>
      </c>
      <c r="I22" t="s">
        <v>669</v>
      </c>
      <c r="J22" t="s">
        <v>670</v>
      </c>
      <c r="K22" t="s">
        <v>212</v>
      </c>
      <c r="L22" t="s">
        <v>213</v>
      </c>
      <c r="M22" t="s">
        <v>668</v>
      </c>
      <c r="N22">
        <v>854830</v>
      </c>
      <c r="O22">
        <v>854834</v>
      </c>
      <c r="P22" t="s">
        <v>671</v>
      </c>
      <c r="Q22" t="s">
        <v>672</v>
      </c>
      <c r="R22" t="s">
        <v>673</v>
      </c>
      <c r="S22" t="b">
        <v>1</v>
      </c>
      <c r="T22" t="s">
        <v>674</v>
      </c>
      <c r="U22" s="1">
        <v>305000000000</v>
      </c>
      <c r="V22" t="s">
        <v>184</v>
      </c>
      <c r="W22">
        <v>95630</v>
      </c>
      <c r="X22" t="s">
        <v>675</v>
      </c>
      <c r="Y22" t="s">
        <v>676</v>
      </c>
      <c r="Z22" t="s">
        <v>196</v>
      </c>
      <c r="AA22" t="s">
        <v>677</v>
      </c>
      <c r="AB22" t="s">
        <v>188</v>
      </c>
      <c r="AC22" t="s">
        <v>201</v>
      </c>
      <c r="AD22" t="s">
        <v>202</v>
      </c>
      <c r="AE22" t="s">
        <v>678</v>
      </c>
      <c r="AF22" t="s">
        <v>679</v>
      </c>
      <c r="AG22" t="s">
        <v>680</v>
      </c>
      <c r="AH22" t="s">
        <v>681</v>
      </c>
      <c r="AI22">
        <v>20241025</v>
      </c>
      <c r="AJ22">
        <v>20241205</v>
      </c>
      <c r="AK22" t="s">
        <v>196</v>
      </c>
      <c r="AL22">
        <v>20241211</v>
      </c>
      <c r="AM22" t="s">
        <v>682</v>
      </c>
      <c r="AN22" t="s">
        <v>196</v>
      </c>
      <c r="AO22" t="s">
        <v>683</v>
      </c>
      <c r="AP22" t="s">
        <v>684</v>
      </c>
      <c r="AQ22">
        <v>854838</v>
      </c>
      <c r="AR22" t="s">
        <v>685</v>
      </c>
      <c r="AS22" t="s">
        <v>686</v>
      </c>
      <c r="AT22" t="s">
        <v>687</v>
      </c>
      <c r="AU22" t="s">
        <v>688</v>
      </c>
      <c r="AV22" t="s">
        <v>689</v>
      </c>
      <c r="AW22" t="s">
        <v>690</v>
      </c>
      <c r="AX22" t="s">
        <v>196</v>
      </c>
      <c r="AY22" t="s">
        <v>196</v>
      </c>
      <c r="AZ22" t="s">
        <v>196</v>
      </c>
      <c r="BA22" t="s">
        <v>196</v>
      </c>
      <c r="BB22" t="s">
        <v>196</v>
      </c>
      <c r="BC22" t="s">
        <v>196</v>
      </c>
      <c r="BD22" s="1">
        <v>305000000000</v>
      </c>
      <c r="BE22" s="1">
        <v>305000000000</v>
      </c>
      <c r="BF22" t="s">
        <v>691</v>
      </c>
      <c r="BG22" t="s">
        <v>692</v>
      </c>
      <c r="BH22" t="s">
        <v>196</v>
      </c>
      <c r="BI22" t="s">
        <v>196</v>
      </c>
      <c r="BJ22" t="s">
        <v>196</v>
      </c>
      <c r="BK22" t="s">
        <v>196</v>
      </c>
      <c r="BL22" t="s">
        <v>196</v>
      </c>
      <c r="BM22" t="s">
        <v>196</v>
      </c>
      <c r="BN22" t="s">
        <v>196</v>
      </c>
      <c r="BO22" t="s">
        <v>196</v>
      </c>
      <c r="BP22">
        <v>854842</v>
      </c>
      <c r="BQ22" t="s">
        <v>196</v>
      </c>
      <c r="BR22" t="s">
        <v>196</v>
      </c>
      <c r="BS22" t="s">
        <v>196</v>
      </c>
      <c r="BT22" t="s">
        <v>196</v>
      </c>
      <c r="BU22" t="s">
        <v>693</v>
      </c>
      <c r="BV22" t="s">
        <v>694</v>
      </c>
      <c r="BW22" t="s">
        <v>196</v>
      </c>
      <c r="BX22" t="s">
        <v>196</v>
      </c>
      <c r="BY22" t="s">
        <v>196</v>
      </c>
      <c r="BZ22" t="s">
        <v>196</v>
      </c>
      <c r="CA22" t="s">
        <v>196</v>
      </c>
      <c r="CB22">
        <v>854846</v>
      </c>
      <c r="CC22">
        <v>854850</v>
      </c>
      <c r="CD22">
        <v>1593856</v>
      </c>
      <c r="CE22" t="s">
        <v>196</v>
      </c>
      <c r="CF22" t="s">
        <v>196</v>
      </c>
      <c r="CG22" t="s">
        <v>196</v>
      </c>
      <c r="CH22" t="s">
        <v>196</v>
      </c>
      <c r="CI22" t="s">
        <v>196</v>
      </c>
      <c r="CJ22" t="s">
        <v>196</v>
      </c>
      <c r="CK22" t="s">
        <v>196</v>
      </c>
      <c r="CL22" t="s">
        <v>196</v>
      </c>
      <c r="CM22" t="s">
        <v>196</v>
      </c>
      <c r="CN22" s="1">
        <v>305000000000</v>
      </c>
      <c r="CO22" s="1">
        <v>305000000000</v>
      </c>
      <c r="CP22" s="1">
        <v>305000000000</v>
      </c>
      <c r="CQ22" t="s">
        <v>196</v>
      </c>
      <c r="CR22" t="s">
        <v>196</v>
      </c>
      <c r="CS22" t="s">
        <v>196</v>
      </c>
      <c r="CT22" t="s">
        <v>196</v>
      </c>
      <c r="CU22" t="s">
        <v>196</v>
      </c>
      <c r="CV22" t="s">
        <v>196</v>
      </c>
      <c r="CW22" t="s">
        <v>196</v>
      </c>
      <c r="CX22" t="s">
        <v>196</v>
      </c>
      <c r="CY22" t="s">
        <v>196</v>
      </c>
      <c r="CZ22" t="s">
        <v>196</v>
      </c>
      <c r="DA22" t="s">
        <v>196</v>
      </c>
      <c r="DB22" t="s">
        <v>196</v>
      </c>
      <c r="DC22" t="s">
        <v>196</v>
      </c>
      <c r="DD22" t="s">
        <v>196</v>
      </c>
      <c r="DE22" t="s">
        <v>196</v>
      </c>
      <c r="DF22" t="s">
        <v>196</v>
      </c>
      <c r="DG22" t="s">
        <v>196</v>
      </c>
      <c r="DH22" t="s">
        <v>196</v>
      </c>
      <c r="DI22" t="s">
        <v>196</v>
      </c>
      <c r="DJ22" t="s">
        <v>196</v>
      </c>
      <c r="DK22" t="s">
        <v>196</v>
      </c>
      <c r="DL22" t="s">
        <v>196</v>
      </c>
      <c r="DM22" t="s">
        <v>196</v>
      </c>
      <c r="DN22" t="s">
        <v>196</v>
      </c>
      <c r="DO22" t="s">
        <v>196</v>
      </c>
      <c r="DP22" t="s">
        <v>196</v>
      </c>
      <c r="DQ22" t="s">
        <v>196</v>
      </c>
      <c r="DR22" t="s">
        <v>196</v>
      </c>
      <c r="DS22" t="s">
        <v>196</v>
      </c>
      <c r="DT22" t="s">
        <v>196</v>
      </c>
      <c r="DU22" t="s">
        <v>196</v>
      </c>
      <c r="DV22" t="s">
        <v>196</v>
      </c>
      <c r="DW22" t="s">
        <v>196</v>
      </c>
      <c r="DX22" t="s">
        <v>196</v>
      </c>
      <c r="DY22" t="s">
        <v>196</v>
      </c>
      <c r="DZ22" t="s">
        <v>196</v>
      </c>
      <c r="EA22" t="s">
        <v>196</v>
      </c>
      <c r="EB22" t="s">
        <v>196</v>
      </c>
      <c r="EC22" t="s">
        <v>196</v>
      </c>
      <c r="ED22" t="s">
        <v>196</v>
      </c>
      <c r="EE22" t="s">
        <v>196</v>
      </c>
      <c r="EF22" t="s">
        <v>196</v>
      </c>
      <c r="EG22" t="s">
        <v>196</v>
      </c>
      <c r="EH22" t="s">
        <v>196</v>
      </c>
      <c r="EI22" t="s">
        <v>196</v>
      </c>
      <c r="EJ22" t="s">
        <v>196</v>
      </c>
      <c r="EK22" t="s">
        <v>196</v>
      </c>
      <c r="EL22" t="s">
        <v>196</v>
      </c>
      <c r="EM22" t="s">
        <v>196</v>
      </c>
      <c r="EN22" t="s">
        <v>196</v>
      </c>
      <c r="EO22" t="s">
        <v>196</v>
      </c>
      <c r="EP22" t="str">
        <f t="shared" si="0"/>
        <v>Active</v>
      </c>
    </row>
    <row r="23" spans="1:146">
      <c r="A23" t="s">
        <v>3</v>
      </c>
      <c r="B23" t="s">
        <v>273</v>
      </c>
      <c r="C23" t="s">
        <v>18</v>
      </c>
      <c r="D23" t="s">
        <v>172</v>
      </c>
      <c r="E23" t="s">
        <v>7</v>
      </c>
      <c r="F23" t="s">
        <v>274</v>
      </c>
      <c r="G23" t="s">
        <v>275</v>
      </c>
      <c r="H23" t="s">
        <v>275</v>
      </c>
      <c r="I23" t="s">
        <v>346</v>
      </c>
      <c r="J23" t="s">
        <v>347</v>
      </c>
      <c r="K23" t="s">
        <v>212</v>
      </c>
      <c r="L23" t="s">
        <v>213</v>
      </c>
      <c r="M23" t="s">
        <v>275</v>
      </c>
      <c r="N23">
        <v>830865</v>
      </c>
      <c r="O23">
        <v>830869</v>
      </c>
      <c r="P23" t="s">
        <v>348</v>
      </c>
      <c r="Q23" t="s">
        <v>349</v>
      </c>
      <c r="R23" t="s">
        <v>350</v>
      </c>
      <c r="S23" t="b">
        <v>1</v>
      </c>
      <c r="T23" t="s">
        <v>281</v>
      </c>
      <c r="U23" s="1">
        <v>317000000000</v>
      </c>
      <c r="V23" t="s">
        <v>184</v>
      </c>
      <c r="W23">
        <v>95660</v>
      </c>
      <c r="X23" t="s">
        <v>282</v>
      </c>
      <c r="Y23" t="s">
        <v>283</v>
      </c>
      <c r="Z23" t="s">
        <v>196</v>
      </c>
      <c r="AA23" t="s">
        <v>284</v>
      </c>
      <c r="AB23" t="s">
        <v>188</v>
      </c>
      <c r="AC23" t="s">
        <v>201</v>
      </c>
      <c r="AD23" t="s">
        <v>202</v>
      </c>
      <c r="AE23" t="s">
        <v>695</v>
      </c>
      <c r="AF23" t="s">
        <v>696</v>
      </c>
      <c r="AG23" t="s">
        <v>697</v>
      </c>
      <c r="AH23" t="s">
        <v>288</v>
      </c>
      <c r="AI23">
        <v>20241101</v>
      </c>
      <c r="AJ23">
        <v>20241203</v>
      </c>
      <c r="AK23" t="s">
        <v>196</v>
      </c>
      <c r="AL23">
        <v>20241211</v>
      </c>
      <c r="AM23" t="s">
        <v>698</v>
      </c>
      <c r="AN23" t="s">
        <v>196</v>
      </c>
      <c r="AO23" t="s">
        <v>355</v>
      </c>
      <c r="AP23" t="s">
        <v>356</v>
      </c>
      <c r="AQ23">
        <v>830872</v>
      </c>
      <c r="AR23" t="s">
        <v>357</v>
      </c>
      <c r="AS23" t="s">
        <v>358</v>
      </c>
      <c r="AT23" t="s">
        <v>196</v>
      </c>
      <c r="AU23" t="s">
        <v>196</v>
      </c>
      <c r="AV23" t="s">
        <v>196</v>
      </c>
      <c r="AW23" t="s">
        <v>196</v>
      </c>
      <c r="AX23" t="s">
        <v>196</v>
      </c>
      <c r="AY23" t="s">
        <v>196</v>
      </c>
      <c r="AZ23" t="s">
        <v>196</v>
      </c>
      <c r="BA23" t="s">
        <v>196</v>
      </c>
      <c r="BB23" t="s">
        <v>196</v>
      </c>
      <c r="BC23" t="s">
        <v>196</v>
      </c>
      <c r="BD23" s="1">
        <v>317000000000</v>
      </c>
      <c r="BE23" s="1">
        <v>317000000000</v>
      </c>
      <c r="BF23" t="s">
        <v>196</v>
      </c>
      <c r="BG23" t="s">
        <v>196</v>
      </c>
      <c r="BH23" t="s">
        <v>196</v>
      </c>
      <c r="BI23" t="s">
        <v>196</v>
      </c>
      <c r="BJ23" t="s">
        <v>196</v>
      </c>
      <c r="BK23" t="s">
        <v>196</v>
      </c>
      <c r="BL23" t="s">
        <v>196</v>
      </c>
      <c r="BM23" t="s">
        <v>196</v>
      </c>
      <c r="BN23" t="s">
        <v>196</v>
      </c>
      <c r="BO23" t="s">
        <v>196</v>
      </c>
      <c r="BP23" t="s">
        <v>196</v>
      </c>
      <c r="BQ23" t="s">
        <v>196</v>
      </c>
      <c r="BR23" t="s">
        <v>196</v>
      </c>
      <c r="BS23" t="s">
        <v>196</v>
      </c>
      <c r="BT23" t="s">
        <v>196</v>
      </c>
      <c r="BU23" t="s">
        <v>196</v>
      </c>
      <c r="BV23" t="s">
        <v>196</v>
      </c>
      <c r="BW23" t="s">
        <v>196</v>
      </c>
      <c r="BX23" t="s">
        <v>196</v>
      </c>
      <c r="BY23" t="s">
        <v>196</v>
      </c>
      <c r="BZ23" t="s">
        <v>196</v>
      </c>
      <c r="CA23" t="s">
        <v>196</v>
      </c>
      <c r="CB23" t="s">
        <v>196</v>
      </c>
      <c r="CC23" t="s">
        <v>196</v>
      </c>
      <c r="CD23" t="s">
        <v>196</v>
      </c>
      <c r="CE23" t="s">
        <v>196</v>
      </c>
      <c r="CF23" t="s">
        <v>196</v>
      </c>
      <c r="CG23" t="s">
        <v>196</v>
      </c>
      <c r="CH23" t="s">
        <v>196</v>
      </c>
      <c r="CI23" t="s">
        <v>196</v>
      </c>
      <c r="CJ23" t="s">
        <v>196</v>
      </c>
      <c r="CK23" t="s">
        <v>196</v>
      </c>
      <c r="CL23" t="s">
        <v>196</v>
      </c>
      <c r="CM23" t="s">
        <v>196</v>
      </c>
      <c r="CN23" t="s">
        <v>196</v>
      </c>
      <c r="CO23" t="s">
        <v>196</v>
      </c>
      <c r="CP23" t="s">
        <v>196</v>
      </c>
      <c r="CQ23" t="s">
        <v>196</v>
      </c>
      <c r="CR23" t="s">
        <v>196</v>
      </c>
      <c r="CS23" t="s">
        <v>196</v>
      </c>
      <c r="CT23" t="s">
        <v>196</v>
      </c>
      <c r="CU23" t="s">
        <v>196</v>
      </c>
      <c r="CV23" t="s">
        <v>196</v>
      </c>
      <c r="CW23" t="s">
        <v>196</v>
      </c>
      <c r="CX23" t="s">
        <v>196</v>
      </c>
      <c r="CY23" t="s">
        <v>196</v>
      </c>
      <c r="CZ23" t="s">
        <v>196</v>
      </c>
      <c r="DA23" t="s">
        <v>196</v>
      </c>
      <c r="DB23" t="s">
        <v>196</v>
      </c>
      <c r="DC23" t="s">
        <v>196</v>
      </c>
      <c r="DD23" t="s">
        <v>196</v>
      </c>
      <c r="DE23" t="s">
        <v>196</v>
      </c>
      <c r="DF23" t="s">
        <v>196</v>
      </c>
      <c r="DG23" t="s">
        <v>196</v>
      </c>
      <c r="DH23" t="s">
        <v>196</v>
      </c>
      <c r="DI23" t="s">
        <v>196</v>
      </c>
      <c r="DJ23" t="s">
        <v>196</v>
      </c>
      <c r="DK23" t="s">
        <v>196</v>
      </c>
      <c r="DL23" t="s">
        <v>196</v>
      </c>
      <c r="DM23" t="s">
        <v>196</v>
      </c>
      <c r="DN23" t="s">
        <v>196</v>
      </c>
      <c r="DO23" t="s">
        <v>196</v>
      </c>
      <c r="DP23" t="s">
        <v>196</v>
      </c>
      <c r="DQ23" t="s">
        <v>196</v>
      </c>
      <c r="DR23" t="s">
        <v>196</v>
      </c>
      <c r="DS23" t="s">
        <v>196</v>
      </c>
      <c r="DT23" t="s">
        <v>196</v>
      </c>
      <c r="DU23" t="s">
        <v>196</v>
      </c>
      <c r="DV23" t="s">
        <v>196</v>
      </c>
      <c r="DW23" t="s">
        <v>196</v>
      </c>
      <c r="DX23" t="s">
        <v>196</v>
      </c>
      <c r="DY23" t="s">
        <v>196</v>
      </c>
      <c r="DZ23" t="s">
        <v>196</v>
      </c>
      <c r="EA23" t="s">
        <v>196</v>
      </c>
      <c r="EB23" t="s">
        <v>196</v>
      </c>
      <c r="EC23" t="s">
        <v>196</v>
      </c>
      <c r="ED23" t="s">
        <v>196</v>
      </c>
      <c r="EE23" t="s">
        <v>196</v>
      </c>
      <c r="EF23" t="s">
        <v>196</v>
      </c>
      <c r="EG23" t="s">
        <v>196</v>
      </c>
      <c r="EH23" t="s">
        <v>196</v>
      </c>
      <c r="EI23" t="s">
        <v>196</v>
      </c>
      <c r="EJ23" t="s">
        <v>196</v>
      </c>
      <c r="EK23" t="s">
        <v>196</v>
      </c>
      <c r="EL23" t="s">
        <v>196</v>
      </c>
      <c r="EM23" t="s">
        <v>196</v>
      </c>
      <c r="EN23" t="s">
        <v>196</v>
      </c>
      <c r="EO23" t="s">
        <v>196</v>
      </c>
      <c r="EP23" t="str">
        <f t="shared" si="0"/>
        <v>Active</v>
      </c>
    </row>
    <row r="24" spans="1:146">
      <c r="A24" t="s">
        <v>4</v>
      </c>
      <c r="B24" t="s">
        <v>699</v>
      </c>
      <c r="C24" t="s">
        <v>15</v>
      </c>
      <c r="D24" t="s">
        <v>172</v>
      </c>
      <c r="E24" t="s">
        <v>7</v>
      </c>
      <c r="F24" t="s">
        <v>700</v>
      </c>
      <c r="G24" t="s">
        <v>701</v>
      </c>
      <c r="H24" t="s">
        <v>702</v>
      </c>
      <c r="I24" t="s">
        <v>703</v>
      </c>
      <c r="J24" t="s">
        <v>704</v>
      </c>
      <c r="K24" t="s">
        <v>212</v>
      </c>
      <c r="L24" t="s">
        <v>246</v>
      </c>
      <c r="M24" t="s">
        <v>702</v>
      </c>
      <c r="N24">
        <v>1737244</v>
      </c>
      <c r="O24">
        <v>1737245</v>
      </c>
      <c r="P24" t="s">
        <v>705</v>
      </c>
      <c r="Q24" t="s">
        <v>706</v>
      </c>
      <c r="R24" t="s">
        <v>707</v>
      </c>
      <c r="S24" t="b">
        <v>1</v>
      </c>
      <c r="T24" t="s">
        <v>708</v>
      </c>
      <c r="U24" t="s">
        <v>196</v>
      </c>
      <c r="V24" t="s">
        <v>184</v>
      </c>
      <c r="W24">
        <v>65275</v>
      </c>
      <c r="X24" t="s">
        <v>709</v>
      </c>
      <c r="Y24" t="s">
        <v>710</v>
      </c>
      <c r="Z24" t="s">
        <v>196</v>
      </c>
      <c r="AA24" t="s">
        <v>711</v>
      </c>
      <c r="AB24" t="s">
        <v>188</v>
      </c>
      <c r="AC24" t="s">
        <v>201</v>
      </c>
      <c r="AD24" t="s">
        <v>253</v>
      </c>
      <c r="AE24" t="s">
        <v>712</v>
      </c>
      <c r="AF24" t="s">
        <v>713</v>
      </c>
      <c r="AG24" t="s">
        <v>714</v>
      </c>
      <c r="AH24" t="s">
        <v>715</v>
      </c>
      <c r="AI24">
        <v>20130604</v>
      </c>
      <c r="AJ24">
        <v>20130620</v>
      </c>
      <c r="AK24">
        <v>20140417</v>
      </c>
      <c r="AL24">
        <v>20130626</v>
      </c>
      <c r="AM24" t="s">
        <v>716</v>
      </c>
      <c r="AN24" t="s">
        <v>196</v>
      </c>
      <c r="AO24" t="s">
        <v>717</v>
      </c>
      <c r="AP24" t="s">
        <v>718</v>
      </c>
      <c r="AQ24">
        <v>1737578</v>
      </c>
      <c r="AR24" t="s">
        <v>719</v>
      </c>
      <c r="AS24" t="s">
        <v>720</v>
      </c>
      <c r="AT24" t="s">
        <v>721</v>
      </c>
      <c r="AU24" t="s">
        <v>722</v>
      </c>
      <c r="AV24" t="s">
        <v>723</v>
      </c>
      <c r="AW24" t="s">
        <v>724</v>
      </c>
      <c r="AX24" t="s">
        <v>725</v>
      </c>
      <c r="AY24" t="s">
        <v>726</v>
      </c>
      <c r="AZ24" t="s">
        <v>727</v>
      </c>
      <c r="BA24" t="s">
        <v>728</v>
      </c>
      <c r="BB24" t="s">
        <v>729</v>
      </c>
      <c r="BC24" t="s">
        <v>262</v>
      </c>
      <c r="BD24" t="s">
        <v>196</v>
      </c>
      <c r="BE24" t="s">
        <v>196</v>
      </c>
      <c r="BF24" t="s">
        <v>730</v>
      </c>
      <c r="BG24" t="s">
        <v>731</v>
      </c>
      <c r="BH24" t="s">
        <v>732</v>
      </c>
      <c r="BI24" t="s">
        <v>733</v>
      </c>
      <c r="BJ24" t="s">
        <v>734</v>
      </c>
      <c r="BK24" t="s">
        <v>735</v>
      </c>
      <c r="BL24" t="s">
        <v>736</v>
      </c>
      <c r="BM24" t="s">
        <v>737</v>
      </c>
      <c r="BN24" t="s">
        <v>738</v>
      </c>
      <c r="BO24" t="s">
        <v>739</v>
      </c>
      <c r="BP24">
        <v>1737579</v>
      </c>
      <c r="BQ24" t="s">
        <v>196</v>
      </c>
      <c r="BR24" t="s">
        <v>196</v>
      </c>
      <c r="BS24" t="s">
        <v>196</v>
      </c>
      <c r="BT24" t="s">
        <v>196</v>
      </c>
      <c r="BU24" t="s">
        <v>740</v>
      </c>
      <c r="BV24" t="s">
        <v>741</v>
      </c>
      <c r="BW24" t="s">
        <v>742</v>
      </c>
      <c r="BX24" t="s">
        <v>743</v>
      </c>
      <c r="BY24" t="s">
        <v>744</v>
      </c>
      <c r="BZ24" t="s">
        <v>196</v>
      </c>
      <c r="CA24" t="s">
        <v>196</v>
      </c>
      <c r="CB24">
        <v>1737581</v>
      </c>
      <c r="CC24">
        <v>1737582</v>
      </c>
      <c r="CD24">
        <v>205964</v>
      </c>
      <c r="CE24">
        <v>309335</v>
      </c>
      <c r="CF24">
        <v>309336</v>
      </c>
      <c r="CG24">
        <v>309339</v>
      </c>
      <c r="CH24">
        <v>685574</v>
      </c>
      <c r="CI24">
        <v>685576</v>
      </c>
      <c r="CJ24" t="s">
        <v>196</v>
      </c>
      <c r="CK24" t="s">
        <v>196</v>
      </c>
      <c r="CL24" t="s">
        <v>196</v>
      </c>
      <c r="CM24" t="s">
        <v>196</v>
      </c>
      <c r="CN24" t="s">
        <v>196</v>
      </c>
      <c r="CO24" s="1" t="s">
        <v>196</v>
      </c>
      <c r="CP24" s="1" t="s">
        <v>196</v>
      </c>
      <c r="CQ24" t="s">
        <v>196</v>
      </c>
      <c r="CR24" t="s">
        <v>196</v>
      </c>
      <c r="CS24" t="s">
        <v>196</v>
      </c>
      <c r="CT24" t="s">
        <v>196</v>
      </c>
      <c r="CU24" t="s">
        <v>196</v>
      </c>
      <c r="CV24" t="s">
        <v>196</v>
      </c>
      <c r="CW24" t="s">
        <v>196</v>
      </c>
      <c r="CX24" t="s">
        <v>196</v>
      </c>
      <c r="CY24" t="s">
        <v>196</v>
      </c>
      <c r="CZ24" t="s">
        <v>196</v>
      </c>
      <c r="DA24" t="s">
        <v>196</v>
      </c>
      <c r="DB24" t="s">
        <v>196</v>
      </c>
      <c r="DC24" t="s">
        <v>196</v>
      </c>
      <c r="DD24" t="s">
        <v>196</v>
      </c>
      <c r="DE24" t="s">
        <v>196</v>
      </c>
      <c r="DF24" t="s">
        <v>196</v>
      </c>
      <c r="DG24" t="s">
        <v>196</v>
      </c>
      <c r="DH24" t="s">
        <v>196</v>
      </c>
      <c r="DI24" t="s">
        <v>196</v>
      </c>
      <c r="DJ24" t="s">
        <v>196</v>
      </c>
      <c r="DK24" t="s">
        <v>196</v>
      </c>
      <c r="DL24" t="s">
        <v>196</v>
      </c>
      <c r="DM24" t="s">
        <v>196</v>
      </c>
      <c r="DN24" t="s">
        <v>196</v>
      </c>
      <c r="DO24" t="s">
        <v>196</v>
      </c>
      <c r="DP24" t="s">
        <v>196</v>
      </c>
      <c r="DQ24" t="s">
        <v>196</v>
      </c>
      <c r="DR24" t="s">
        <v>196</v>
      </c>
      <c r="DS24" t="s">
        <v>196</v>
      </c>
      <c r="DT24" t="s">
        <v>196</v>
      </c>
      <c r="DU24" t="s">
        <v>196</v>
      </c>
      <c r="DV24" t="s">
        <v>196</v>
      </c>
      <c r="DW24" t="s">
        <v>196</v>
      </c>
      <c r="DX24" t="s">
        <v>196</v>
      </c>
      <c r="DY24" t="s">
        <v>196</v>
      </c>
      <c r="DZ24" t="s">
        <v>196</v>
      </c>
      <c r="EA24" t="s">
        <v>196</v>
      </c>
      <c r="EB24" t="s">
        <v>196</v>
      </c>
      <c r="EC24">
        <v>685578</v>
      </c>
      <c r="ED24">
        <v>706461</v>
      </c>
      <c r="EE24" t="s">
        <v>196</v>
      </c>
      <c r="EF24" t="s">
        <v>196</v>
      </c>
      <c r="EG24" t="s">
        <v>196</v>
      </c>
      <c r="EH24" t="s">
        <v>196</v>
      </c>
      <c r="EI24" t="s">
        <v>196</v>
      </c>
      <c r="EJ24" t="s">
        <v>196</v>
      </c>
      <c r="EK24" t="s">
        <v>196</v>
      </c>
      <c r="EL24" t="s">
        <v>196</v>
      </c>
      <c r="EM24" t="s">
        <v>196</v>
      </c>
      <c r="EN24" t="s">
        <v>196</v>
      </c>
      <c r="EO24" t="s">
        <v>196</v>
      </c>
      <c r="EP24" t="str">
        <f t="shared" si="0"/>
        <v>Inactive</v>
      </c>
    </row>
    <row r="25" spans="1:146">
      <c r="A25" t="s">
        <v>3</v>
      </c>
      <c r="B25" t="s">
        <v>197</v>
      </c>
      <c r="C25" t="s">
        <v>21</v>
      </c>
      <c r="D25" t="s">
        <v>172</v>
      </c>
      <c r="E25" t="s">
        <v>7</v>
      </c>
      <c r="F25" t="s">
        <v>196</v>
      </c>
      <c r="G25" t="s">
        <v>196</v>
      </c>
      <c r="H25" t="s">
        <v>196</v>
      </c>
      <c r="I25" t="s">
        <v>196</v>
      </c>
      <c r="J25" t="s">
        <v>196</v>
      </c>
      <c r="K25" t="s">
        <v>196</v>
      </c>
      <c r="L25" t="s">
        <v>196</v>
      </c>
      <c r="M25" t="s">
        <v>196</v>
      </c>
      <c r="N25" t="s">
        <v>196</v>
      </c>
      <c r="O25" t="s">
        <v>196</v>
      </c>
      <c r="P25" t="s">
        <v>196</v>
      </c>
      <c r="Q25" t="s">
        <v>196</v>
      </c>
      <c r="R25" t="s">
        <v>196</v>
      </c>
      <c r="S25" t="s">
        <v>196</v>
      </c>
      <c r="T25" t="s">
        <v>196</v>
      </c>
      <c r="U25" t="s">
        <v>196</v>
      </c>
      <c r="V25" t="s">
        <v>184</v>
      </c>
      <c r="W25">
        <v>95826</v>
      </c>
      <c r="X25" t="s">
        <v>198</v>
      </c>
      <c r="Y25" t="s">
        <v>199</v>
      </c>
      <c r="Z25" t="s">
        <v>196</v>
      </c>
      <c r="AA25" t="s">
        <v>200</v>
      </c>
      <c r="AB25" t="s">
        <v>188</v>
      </c>
      <c r="AC25" t="s">
        <v>201</v>
      </c>
      <c r="AD25" t="s">
        <v>202</v>
      </c>
      <c r="AE25" t="s">
        <v>745</v>
      </c>
      <c r="AF25" t="s">
        <v>746</v>
      </c>
      <c r="AG25" t="s">
        <v>196</v>
      </c>
      <c r="AH25" t="s">
        <v>205</v>
      </c>
      <c r="AI25">
        <v>20241106</v>
      </c>
      <c r="AJ25">
        <v>20241202</v>
      </c>
      <c r="AK25" t="s">
        <v>196</v>
      </c>
      <c r="AL25">
        <v>20241211</v>
      </c>
      <c r="AM25" t="s">
        <v>206</v>
      </c>
      <c r="AN25" t="s">
        <v>196</v>
      </c>
      <c r="AO25" t="s">
        <v>196</v>
      </c>
      <c r="AP25" t="s">
        <v>196</v>
      </c>
      <c r="AQ25" t="s">
        <v>196</v>
      </c>
      <c r="AR25" t="s">
        <v>196</v>
      </c>
      <c r="AS25" t="s">
        <v>196</v>
      </c>
      <c r="AT25" t="s">
        <v>196</v>
      </c>
      <c r="AU25" t="s">
        <v>196</v>
      </c>
      <c r="AV25" t="s">
        <v>196</v>
      </c>
      <c r="AW25" t="s">
        <v>196</v>
      </c>
      <c r="AX25" t="s">
        <v>196</v>
      </c>
      <c r="AY25" t="s">
        <v>196</v>
      </c>
      <c r="AZ25" t="s">
        <v>196</v>
      </c>
      <c r="BA25" t="s">
        <v>196</v>
      </c>
      <c r="BB25" t="s">
        <v>196</v>
      </c>
      <c r="BC25" t="s">
        <v>196</v>
      </c>
      <c r="BD25" t="s">
        <v>196</v>
      </c>
      <c r="BE25" t="s">
        <v>196</v>
      </c>
      <c r="BF25" t="s">
        <v>196</v>
      </c>
      <c r="BG25" t="s">
        <v>196</v>
      </c>
      <c r="BH25" t="s">
        <v>196</v>
      </c>
      <c r="BI25" t="s">
        <v>196</v>
      </c>
      <c r="BJ25" t="s">
        <v>196</v>
      </c>
      <c r="BK25" t="s">
        <v>196</v>
      </c>
      <c r="BL25" t="s">
        <v>196</v>
      </c>
      <c r="BM25" t="s">
        <v>196</v>
      </c>
      <c r="BN25" t="s">
        <v>196</v>
      </c>
      <c r="BO25" t="s">
        <v>196</v>
      </c>
      <c r="BP25" t="s">
        <v>196</v>
      </c>
      <c r="BQ25" t="s">
        <v>196</v>
      </c>
      <c r="BR25" t="s">
        <v>196</v>
      </c>
      <c r="BS25" t="s">
        <v>196</v>
      </c>
      <c r="BT25" t="s">
        <v>196</v>
      </c>
      <c r="BU25" t="s">
        <v>196</v>
      </c>
      <c r="BV25" t="s">
        <v>196</v>
      </c>
      <c r="BW25" t="s">
        <v>196</v>
      </c>
      <c r="BX25" t="s">
        <v>196</v>
      </c>
      <c r="BY25" t="s">
        <v>196</v>
      </c>
      <c r="BZ25" t="s">
        <v>196</v>
      </c>
      <c r="CA25" t="s">
        <v>196</v>
      </c>
      <c r="CB25" t="s">
        <v>196</v>
      </c>
      <c r="CC25" t="s">
        <v>196</v>
      </c>
      <c r="CD25" t="s">
        <v>196</v>
      </c>
      <c r="CE25" t="s">
        <v>196</v>
      </c>
      <c r="CF25" t="s">
        <v>196</v>
      </c>
      <c r="CG25" t="s">
        <v>196</v>
      </c>
      <c r="CH25" t="s">
        <v>196</v>
      </c>
      <c r="CI25" t="s">
        <v>196</v>
      </c>
      <c r="CJ25" t="s">
        <v>196</v>
      </c>
      <c r="CK25" t="s">
        <v>196</v>
      </c>
      <c r="CL25" t="s">
        <v>196</v>
      </c>
      <c r="CM25" t="s">
        <v>196</v>
      </c>
      <c r="CN25" t="s">
        <v>196</v>
      </c>
      <c r="CO25" t="s">
        <v>196</v>
      </c>
      <c r="CP25" t="s">
        <v>196</v>
      </c>
      <c r="CQ25" t="s">
        <v>196</v>
      </c>
      <c r="CR25" t="s">
        <v>196</v>
      </c>
      <c r="CS25" t="s">
        <v>196</v>
      </c>
      <c r="CT25" t="s">
        <v>196</v>
      </c>
      <c r="CU25" t="s">
        <v>196</v>
      </c>
      <c r="CV25" t="s">
        <v>196</v>
      </c>
      <c r="CW25" t="s">
        <v>196</v>
      </c>
      <c r="CX25" t="s">
        <v>196</v>
      </c>
      <c r="CY25" t="s">
        <v>196</v>
      </c>
      <c r="CZ25" t="s">
        <v>196</v>
      </c>
      <c r="DA25" t="s">
        <v>196</v>
      </c>
      <c r="DB25" t="s">
        <v>196</v>
      </c>
      <c r="DC25" t="s">
        <v>196</v>
      </c>
      <c r="DD25" t="s">
        <v>196</v>
      </c>
      <c r="DE25" t="s">
        <v>196</v>
      </c>
      <c r="DF25" t="s">
        <v>196</v>
      </c>
      <c r="DG25" t="s">
        <v>196</v>
      </c>
      <c r="DH25" t="s">
        <v>196</v>
      </c>
      <c r="DI25" t="s">
        <v>196</v>
      </c>
      <c r="DJ25" t="s">
        <v>196</v>
      </c>
      <c r="DK25" t="s">
        <v>196</v>
      </c>
      <c r="DL25" t="s">
        <v>196</v>
      </c>
      <c r="DM25" t="s">
        <v>196</v>
      </c>
      <c r="DN25" t="s">
        <v>196</v>
      </c>
      <c r="DO25" t="s">
        <v>196</v>
      </c>
      <c r="DP25" t="s">
        <v>196</v>
      </c>
      <c r="DQ25" t="s">
        <v>196</v>
      </c>
      <c r="DR25" t="s">
        <v>196</v>
      </c>
      <c r="DS25" t="s">
        <v>196</v>
      </c>
      <c r="DT25" t="s">
        <v>196</v>
      </c>
      <c r="DU25" t="s">
        <v>196</v>
      </c>
      <c r="DV25" t="s">
        <v>196</v>
      </c>
      <c r="DW25" t="s">
        <v>196</v>
      </c>
      <c r="DX25" t="s">
        <v>196</v>
      </c>
      <c r="DY25" t="s">
        <v>196</v>
      </c>
      <c r="DZ25" t="s">
        <v>196</v>
      </c>
      <c r="EA25" t="s">
        <v>196</v>
      </c>
      <c r="EB25" t="s">
        <v>196</v>
      </c>
      <c r="EC25" t="s">
        <v>196</v>
      </c>
      <c r="ED25" t="s">
        <v>196</v>
      </c>
      <c r="EE25" t="s">
        <v>196</v>
      </c>
      <c r="EF25" t="s">
        <v>196</v>
      </c>
      <c r="EG25" t="s">
        <v>196</v>
      </c>
      <c r="EH25" t="s">
        <v>196</v>
      </c>
      <c r="EI25" t="s">
        <v>196</v>
      </c>
      <c r="EJ25" t="s">
        <v>196</v>
      </c>
      <c r="EK25" t="s">
        <v>196</v>
      </c>
      <c r="EL25" t="s">
        <v>196</v>
      </c>
      <c r="EM25" t="s">
        <v>196</v>
      </c>
      <c r="EN25" t="s">
        <v>196</v>
      </c>
      <c r="EO25" t="s">
        <v>196</v>
      </c>
      <c r="EP25" t="str">
        <f t="shared" si="0"/>
        <v>Active</v>
      </c>
    </row>
    <row r="26" spans="1:146">
      <c r="A26" t="s">
        <v>3</v>
      </c>
      <c r="B26" t="s">
        <v>637</v>
      </c>
      <c r="C26" t="s">
        <v>16</v>
      </c>
      <c r="D26" t="s">
        <v>638</v>
      </c>
      <c r="E26" t="s">
        <v>7</v>
      </c>
      <c r="F26" t="s">
        <v>639</v>
      </c>
      <c r="G26" t="s">
        <v>640</v>
      </c>
      <c r="H26" t="s">
        <v>640</v>
      </c>
      <c r="I26" t="s">
        <v>641</v>
      </c>
      <c r="J26" t="s">
        <v>642</v>
      </c>
      <c r="K26" t="s">
        <v>212</v>
      </c>
      <c r="L26" t="s">
        <v>213</v>
      </c>
      <c r="M26" t="s">
        <v>571</v>
      </c>
      <c r="N26">
        <v>722126</v>
      </c>
      <c r="O26">
        <v>722131</v>
      </c>
      <c r="P26" t="s">
        <v>643</v>
      </c>
      <c r="Q26" t="s">
        <v>644</v>
      </c>
      <c r="R26" t="s">
        <v>645</v>
      </c>
      <c r="S26" t="b">
        <v>1</v>
      </c>
      <c r="T26" t="s">
        <v>646</v>
      </c>
      <c r="U26" s="1">
        <v>304000000000</v>
      </c>
      <c r="V26" t="s">
        <v>184</v>
      </c>
      <c r="W26">
        <v>81707</v>
      </c>
      <c r="X26" t="s">
        <v>647</v>
      </c>
      <c r="Y26" t="s">
        <v>648</v>
      </c>
      <c r="Z26" t="s">
        <v>16</v>
      </c>
      <c r="AA26" t="s">
        <v>16</v>
      </c>
      <c r="AB26" t="s">
        <v>188</v>
      </c>
      <c r="AC26" t="s">
        <v>189</v>
      </c>
      <c r="AD26" t="s">
        <v>649</v>
      </c>
      <c r="AE26" t="s">
        <v>747</v>
      </c>
      <c r="AF26" t="s">
        <v>748</v>
      </c>
      <c r="AG26" t="s">
        <v>749</v>
      </c>
      <c r="AH26" t="s">
        <v>653</v>
      </c>
      <c r="AI26">
        <v>20181204</v>
      </c>
      <c r="AJ26">
        <v>20181214</v>
      </c>
      <c r="AK26" t="s">
        <v>196</v>
      </c>
      <c r="AL26">
        <v>20181219</v>
      </c>
      <c r="AM26" t="s">
        <v>750</v>
      </c>
      <c r="AN26" t="s">
        <v>196</v>
      </c>
      <c r="AO26" t="s">
        <v>655</v>
      </c>
      <c r="AP26" t="s">
        <v>656</v>
      </c>
      <c r="AQ26">
        <v>722134</v>
      </c>
      <c r="AR26" t="s">
        <v>657</v>
      </c>
      <c r="AS26" t="s">
        <v>658</v>
      </c>
      <c r="AT26" t="s">
        <v>659</v>
      </c>
      <c r="AU26" t="s">
        <v>196</v>
      </c>
      <c r="AV26" t="s">
        <v>196</v>
      </c>
      <c r="AW26" t="s">
        <v>196</v>
      </c>
      <c r="AX26" t="s">
        <v>196</v>
      </c>
      <c r="AY26" t="s">
        <v>196</v>
      </c>
      <c r="AZ26" t="s">
        <v>196</v>
      </c>
      <c r="BA26" t="s">
        <v>196</v>
      </c>
      <c r="BB26" t="s">
        <v>196</v>
      </c>
      <c r="BC26" t="s">
        <v>196</v>
      </c>
      <c r="BD26" s="1">
        <v>304000000000</v>
      </c>
      <c r="BE26" s="1">
        <v>304000000000</v>
      </c>
      <c r="BF26" t="s">
        <v>660</v>
      </c>
      <c r="BG26" t="s">
        <v>196</v>
      </c>
      <c r="BH26" t="s">
        <v>196</v>
      </c>
      <c r="BI26" t="s">
        <v>196</v>
      </c>
      <c r="BJ26" t="s">
        <v>196</v>
      </c>
      <c r="BK26" t="s">
        <v>196</v>
      </c>
      <c r="BL26" t="s">
        <v>196</v>
      </c>
      <c r="BM26" t="s">
        <v>196</v>
      </c>
      <c r="BN26" t="s">
        <v>196</v>
      </c>
      <c r="BO26" t="s">
        <v>196</v>
      </c>
      <c r="BP26">
        <v>722137</v>
      </c>
      <c r="BQ26" t="s">
        <v>661</v>
      </c>
      <c r="BR26" t="s">
        <v>662</v>
      </c>
      <c r="BS26" t="s">
        <v>196</v>
      </c>
      <c r="BT26" t="s">
        <v>663</v>
      </c>
      <c r="BU26" t="s">
        <v>196</v>
      </c>
      <c r="BV26" t="s">
        <v>196</v>
      </c>
      <c r="BW26" t="s">
        <v>196</v>
      </c>
      <c r="BX26" t="s">
        <v>196</v>
      </c>
      <c r="BY26" t="s">
        <v>196</v>
      </c>
      <c r="BZ26" t="s">
        <v>196</v>
      </c>
      <c r="CA26" t="s">
        <v>196</v>
      </c>
      <c r="CB26" t="s">
        <v>196</v>
      </c>
      <c r="CC26" t="s">
        <v>196</v>
      </c>
      <c r="CD26" t="s">
        <v>196</v>
      </c>
      <c r="CE26" t="s">
        <v>196</v>
      </c>
      <c r="CF26" t="s">
        <v>196</v>
      </c>
      <c r="CG26" t="s">
        <v>196</v>
      </c>
      <c r="CH26" t="s">
        <v>196</v>
      </c>
      <c r="CI26" t="s">
        <v>196</v>
      </c>
      <c r="CJ26" t="s">
        <v>196</v>
      </c>
      <c r="CK26" t="s">
        <v>196</v>
      </c>
      <c r="CL26" t="s">
        <v>196</v>
      </c>
      <c r="CM26" t="s">
        <v>196</v>
      </c>
      <c r="CN26" s="1">
        <v>304000000000</v>
      </c>
      <c r="CO26" s="1" t="s">
        <v>196</v>
      </c>
      <c r="CP26" s="1" t="s">
        <v>196</v>
      </c>
      <c r="CQ26" s="1" t="s">
        <v>196</v>
      </c>
      <c r="CR26" s="1" t="s">
        <v>196</v>
      </c>
      <c r="CS26" s="1" t="s">
        <v>196</v>
      </c>
      <c r="CT26" s="1" t="s">
        <v>196</v>
      </c>
      <c r="CU26" s="1" t="s">
        <v>196</v>
      </c>
      <c r="CV26" s="1" t="s">
        <v>196</v>
      </c>
      <c r="CW26" t="s">
        <v>664</v>
      </c>
      <c r="CX26" s="1" t="s">
        <v>196</v>
      </c>
      <c r="CY26" s="1" t="s">
        <v>196</v>
      </c>
      <c r="CZ26" s="1" t="s">
        <v>196</v>
      </c>
      <c r="DA26" s="1" t="s">
        <v>196</v>
      </c>
      <c r="DB26" s="1" t="s">
        <v>196</v>
      </c>
      <c r="DC26" t="s">
        <v>616</v>
      </c>
      <c r="DD26" s="1" t="s">
        <v>196</v>
      </c>
      <c r="DE26" s="1" t="s">
        <v>196</v>
      </c>
      <c r="DF26" s="1" t="s">
        <v>196</v>
      </c>
      <c r="DG26" s="1" t="s">
        <v>196</v>
      </c>
      <c r="DH26" s="1" t="s">
        <v>196</v>
      </c>
      <c r="DI26" s="1" t="s">
        <v>196</v>
      </c>
      <c r="DJ26" s="1" t="s">
        <v>196</v>
      </c>
      <c r="DK26" s="1" t="s">
        <v>196</v>
      </c>
      <c r="DL26" s="1" t="s">
        <v>196</v>
      </c>
      <c r="DM26" s="1" t="s">
        <v>196</v>
      </c>
      <c r="DN26" s="1" t="s">
        <v>196</v>
      </c>
      <c r="DO26" s="1" t="s">
        <v>196</v>
      </c>
      <c r="DP26" s="1" t="s">
        <v>196</v>
      </c>
      <c r="DQ26" s="1" t="s">
        <v>196</v>
      </c>
      <c r="DR26" s="1" t="s">
        <v>196</v>
      </c>
      <c r="DS26" s="1" t="s">
        <v>196</v>
      </c>
      <c r="DT26" s="1" t="s">
        <v>196</v>
      </c>
      <c r="DU26" s="1" t="s">
        <v>196</v>
      </c>
      <c r="DV26" s="1" t="s">
        <v>196</v>
      </c>
      <c r="DW26" s="1" t="s">
        <v>196</v>
      </c>
      <c r="DX26" s="1" t="s">
        <v>196</v>
      </c>
      <c r="DY26" s="1" t="s">
        <v>196</v>
      </c>
      <c r="DZ26" s="1" t="s">
        <v>196</v>
      </c>
      <c r="EA26" s="1" t="s">
        <v>196</v>
      </c>
      <c r="EB26" t="s">
        <v>665</v>
      </c>
      <c r="EC26" s="1" t="s">
        <v>196</v>
      </c>
      <c r="ED26" s="1" t="s">
        <v>196</v>
      </c>
      <c r="EE26" s="1" t="s">
        <v>196</v>
      </c>
      <c r="EF26" s="1" t="s">
        <v>196</v>
      </c>
      <c r="EG26" s="1" t="s">
        <v>196</v>
      </c>
      <c r="EH26" s="1" t="s">
        <v>196</v>
      </c>
      <c r="EI26" s="1" t="s">
        <v>196</v>
      </c>
      <c r="EJ26" s="1" t="s">
        <v>196</v>
      </c>
      <c r="EK26" s="1" t="s">
        <v>196</v>
      </c>
      <c r="EL26" s="1" t="s">
        <v>196</v>
      </c>
      <c r="EM26" s="1" t="s">
        <v>196</v>
      </c>
      <c r="EN26" s="1" t="s">
        <v>196</v>
      </c>
      <c r="EO26" s="1" t="s">
        <v>196</v>
      </c>
      <c r="EP26" t="str">
        <f t="shared" si="0"/>
        <v>Active</v>
      </c>
    </row>
    <row r="27" spans="1:146">
      <c r="A27" t="s">
        <v>3</v>
      </c>
      <c r="B27" t="s">
        <v>751</v>
      </c>
      <c r="C27" t="s">
        <v>18</v>
      </c>
      <c r="D27" t="s">
        <v>172</v>
      </c>
      <c r="E27" t="s">
        <v>8</v>
      </c>
      <c r="F27" t="s">
        <v>752</v>
      </c>
      <c r="G27" t="s">
        <v>753</v>
      </c>
      <c r="H27" t="s">
        <v>753</v>
      </c>
      <c r="I27" t="s">
        <v>754</v>
      </c>
      <c r="J27" t="s">
        <v>755</v>
      </c>
      <c r="K27" t="s">
        <v>212</v>
      </c>
      <c r="L27" t="s">
        <v>213</v>
      </c>
      <c r="M27" t="s">
        <v>756</v>
      </c>
      <c r="N27">
        <v>692576</v>
      </c>
      <c r="O27">
        <v>692578</v>
      </c>
      <c r="P27" t="s">
        <v>757</v>
      </c>
      <c r="Q27" t="s">
        <v>758</v>
      </c>
      <c r="R27" t="s">
        <v>759</v>
      </c>
      <c r="S27" t="b">
        <v>1</v>
      </c>
      <c r="T27" t="s">
        <v>760</v>
      </c>
      <c r="U27" t="s">
        <v>196</v>
      </c>
      <c r="V27" t="s">
        <v>184</v>
      </c>
      <c r="W27">
        <v>95767</v>
      </c>
      <c r="X27" t="s">
        <v>761</v>
      </c>
      <c r="Y27" t="s">
        <v>762</v>
      </c>
      <c r="Z27" t="s">
        <v>196</v>
      </c>
      <c r="AA27" t="s">
        <v>763</v>
      </c>
      <c r="AB27" t="s">
        <v>188</v>
      </c>
      <c r="AC27" t="s">
        <v>201</v>
      </c>
      <c r="AD27" t="s">
        <v>764</v>
      </c>
      <c r="AE27" t="s">
        <v>765</v>
      </c>
      <c r="AF27" t="s">
        <v>766</v>
      </c>
      <c r="AG27" t="s">
        <v>767</v>
      </c>
      <c r="AH27" t="s">
        <v>768</v>
      </c>
      <c r="AI27">
        <v>20241114</v>
      </c>
      <c r="AJ27">
        <v>20241204</v>
      </c>
      <c r="AK27" t="s">
        <v>196</v>
      </c>
      <c r="AL27">
        <v>20241211</v>
      </c>
      <c r="AM27" t="s">
        <v>769</v>
      </c>
      <c r="AN27" t="s">
        <v>196</v>
      </c>
      <c r="AO27" t="s">
        <v>770</v>
      </c>
      <c r="AP27" t="s">
        <v>196</v>
      </c>
      <c r="AQ27" t="s">
        <v>196</v>
      </c>
      <c r="AR27" t="s">
        <v>771</v>
      </c>
      <c r="AS27" t="s">
        <v>196</v>
      </c>
      <c r="AT27" t="s">
        <v>196</v>
      </c>
      <c r="AU27" t="s">
        <v>196</v>
      </c>
      <c r="AV27" t="s">
        <v>196</v>
      </c>
      <c r="AW27" t="s">
        <v>196</v>
      </c>
      <c r="AX27" t="s">
        <v>196</v>
      </c>
      <c r="AY27" t="s">
        <v>196</v>
      </c>
      <c r="AZ27" t="s">
        <v>196</v>
      </c>
      <c r="BA27" t="s">
        <v>196</v>
      </c>
      <c r="BB27" t="s">
        <v>196</v>
      </c>
      <c r="BC27" t="s">
        <v>196</v>
      </c>
      <c r="BD27" t="s">
        <v>196</v>
      </c>
      <c r="BE27" t="s">
        <v>196</v>
      </c>
      <c r="BF27" t="s">
        <v>196</v>
      </c>
      <c r="BG27" t="s">
        <v>196</v>
      </c>
      <c r="BH27" t="s">
        <v>196</v>
      </c>
      <c r="BI27" t="s">
        <v>196</v>
      </c>
      <c r="BJ27" t="s">
        <v>196</v>
      </c>
      <c r="BK27" t="s">
        <v>196</v>
      </c>
      <c r="BL27" t="s">
        <v>196</v>
      </c>
      <c r="BM27" t="s">
        <v>196</v>
      </c>
      <c r="BN27" t="s">
        <v>196</v>
      </c>
      <c r="BO27" t="s">
        <v>196</v>
      </c>
      <c r="BP27" t="s">
        <v>196</v>
      </c>
      <c r="BQ27" t="s">
        <v>196</v>
      </c>
      <c r="BR27" t="s">
        <v>196</v>
      </c>
      <c r="BS27" t="s">
        <v>196</v>
      </c>
      <c r="BT27" t="s">
        <v>196</v>
      </c>
      <c r="BU27" t="s">
        <v>196</v>
      </c>
      <c r="BV27" t="s">
        <v>196</v>
      </c>
      <c r="BW27" t="s">
        <v>196</v>
      </c>
      <c r="BX27" t="s">
        <v>196</v>
      </c>
      <c r="BY27" t="s">
        <v>196</v>
      </c>
      <c r="BZ27" t="s">
        <v>196</v>
      </c>
      <c r="CA27" t="s">
        <v>196</v>
      </c>
      <c r="CB27" t="s">
        <v>196</v>
      </c>
      <c r="CC27" t="s">
        <v>196</v>
      </c>
      <c r="CD27" t="s">
        <v>196</v>
      </c>
      <c r="CE27" t="s">
        <v>196</v>
      </c>
      <c r="CF27" t="s">
        <v>196</v>
      </c>
      <c r="CG27" t="s">
        <v>196</v>
      </c>
      <c r="CH27" t="s">
        <v>196</v>
      </c>
      <c r="CI27" t="s">
        <v>196</v>
      </c>
      <c r="CJ27" t="s">
        <v>196</v>
      </c>
      <c r="CK27" t="s">
        <v>196</v>
      </c>
      <c r="CL27" t="s">
        <v>196</v>
      </c>
      <c r="CM27" t="s">
        <v>196</v>
      </c>
      <c r="CN27" t="s">
        <v>196</v>
      </c>
      <c r="CO27" t="s">
        <v>196</v>
      </c>
      <c r="CP27" t="s">
        <v>196</v>
      </c>
      <c r="CQ27" t="s">
        <v>196</v>
      </c>
      <c r="CR27" t="s">
        <v>196</v>
      </c>
      <c r="CS27" t="s">
        <v>196</v>
      </c>
      <c r="CT27" t="s">
        <v>196</v>
      </c>
      <c r="CU27" t="s">
        <v>196</v>
      </c>
      <c r="CV27" t="s">
        <v>196</v>
      </c>
      <c r="CW27" t="s">
        <v>196</v>
      </c>
      <c r="CX27" t="s">
        <v>196</v>
      </c>
      <c r="CY27" t="s">
        <v>196</v>
      </c>
      <c r="CZ27" t="s">
        <v>196</v>
      </c>
      <c r="DA27" t="s">
        <v>196</v>
      </c>
      <c r="DB27" t="s">
        <v>196</v>
      </c>
      <c r="DC27" t="s">
        <v>196</v>
      </c>
      <c r="DD27" t="s">
        <v>196</v>
      </c>
      <c r="DE27" t="s">
        <v>196</v>
      </c>
      <c r="DF27" t="s">
        <v>196</v>
      </c>
      <c r="DG27" t="s">
        <v>196</v>
      </c>
      <c r="DH27" t="s">
        <v>196</v>
      </c>
      <c r="DI27" t="s">
        <v>196</v>
      </c>
      <c r="DJ27" t="s">
        <v>196</v>
      </c>
      <c r="DK27" t="s">
        <v>196</v>
      </c>
      <c r="DL27" t="s">
        <v>196</v>
      </c>
      <c r="DM27" t="s">
        <v>196</v>
      </c>
      <c r="DN27" t="s">
        <v>196</v>
      </c>
      <c r="DO27" t="s">
        <v>196</v>
      </c>
      <c r="DP27" t="s">
        <v>196</v>
      </c>
      <c r="DQ27" t="s">
        <v>196</v>
      </c>
      <c r="DR27" t="s">
        <v>196</v>
      </c>
      <c r="DS27" t="s">
        <v>196</v>
      </c>
      <c r="DT27" t="s">
        <v>196</v>
      </c>
      <c r="DU27" t="s">
        <v>196</v>
      </c>
      <c r="DV27" t="s">
        <v>196</v>
      </c>
      <c r="DW27" t="s">
        <v>196</v>
      </c>
      <c r="DX27" t="s">
        <v>196</v>
      </c>
      <c r="DY27" t="s">
        <v>196</v>
      </c>
      <c r="DZ27" t="s">
        <v>196</v>
      </c>
      <c r="EA27" t="s">
        <v>196</v>
      </c>
      <c r="EB27" t="s">
        <v>196</v>
      </c>
      <c r="EC27" t="s">
        <v>196</v>
      </c>
      <c r="ED27" t="s">
        <v>196</v>
      </c>
      <c r="EE27" t="s">
        <v>196</v>
      </c>
      <c r="EF27" t="s">
        <v>196</v>
      </c>
      <c r="EG27" t="s">
        <v>196</v>
      </c>
      <c r="EH27" t="s">
        <v>196</v>
      </c>
      <c r="EI27" t="s">
        <v>196</v>
      </c>
      <c r="EJ27" t="s">
        <v>196</v>
      </c>
      <c r="EK27" t="s">
        <v>196</v>
      </c>
      <c r="EL27" t="s">
        <v>196</v>
      </c>
      <c r="EM27" t="s">
        <v>196</v>
      </c>
      <c r="EN27" t="s">
        <v>196</v>
      </c>
      <c r="EO27" t="s">
        <v>196</v>
      </c>
      <c r="EP27" t="str">
        <f t="shared" si="0"/>
        <v>Active</v>
      </c>
    </row>
    <row r="28" spans="1:146">
      <c r="A28" t="s">
        <v>3</v>
      </c>
      <c r="B28" t="s">
        <v>772</v>
      </c>
      <c r="C28" t="s">
        <v>18</v>
      </c>
      <c r="D28" t="s">
        <v>172</v>
      </c>
      <c r="E28" t="s">
        <v>7</v>
      </c>
      <c r="F28" t="s">
        <v>437</v>
      </c>
      <c r="G28" t="s">
        <v>438</v>
      </c>
      <c r="H28" t="s">
        <v>439</v>
      </c>
      <c r="I28" t="s">
        <v>773</v>
      </c>
      <c r="J28" t="s">
        <v>774</v>
      </c>
      <c r="K28" t="s">
        <v>212</v>
      </c>
      <c r="L28" t="s">
        <v>213</v>
      </c>
      <c r="M28" t="s">
        <v>439</v>
      </c>
      <c r="N28">
        <v>596926</v>
      </c>
      <c r="O28">
        <v>596930</v>
      </c>
      <c r="P28" t="s">
        <v>775</v>
      </c>
      <c r="Q28" t="s">
        <v>776</v>
      </c>
      <c r="R28" t="s">
        <v>777</v>
      </c>
      <c r="S28" t="b">
        <v>1</v>
      </c>
      <c r="T28" t="s">
        <v>445</v>
      </c>
      <c r="U28" s="1">
        <v>357000000000</v>
      </c>
      <c r="V28" t="s">
        <v>184</v>
      </c>
      <c r="W28">
        <v>95756</v>
      </c>
      <c r="X28" t="s">
        <v>778</v>
      </c>
      <c r="Y28" t="s">
        <v>779</v>
      </c>
      <c r="Z28" t="s">
        <v>196</v>
      </c>
      <c r="AA28" t="s">
        <v>780</v>
      </c>
      <c r="AB28" t="s">
        <v>188</v>
      </c>
      <c r="AC28" t="s">
        <v>201</v>
      </c>
      <c r="AD28" t="s">
        <v>781</v>
      </c>
      <c r="AE28" t="s">
        <v>782</v>
      </c>
      <c r="AF28" t="s">
        <v>783</v>
      </c>
      <c r="AG28" t="s">
        <v>784</v>
      </c>
      <c r="AH28" t="s">
        <v>785</v>
      </c>
      <c r="AI28">
        <v>20241119</v>
      </c>
      <c r="AJ28">
        <v>20241205</v>
      </c>
      <c r="AK28" t="s">
        <v>196</v>
      </c>
      <c r="AL28">
        <v>20241211</v>
      </c>
      <c r="AM28" t="s">
        <v>786</v>
      </c>
      <c r="AN28" t="s">
        <v>196</v>
      </c>
      <c r="AO28" t="s">
        <v>787</v>
      </c>
      <c r="AP28" t="s">
        <v>788</v>
      </c>
      <c r="AQ28">
        <v>596934</v>
      </c>
      <c r="AR28" t="s">
        <v>789</v>
      </c>
      <c r="AS28" t="s">
        <v>790</v>
      </c>
      <c r="AT28" t="s">
        <v>791</v>
      </c>
      <c r="AU28" t="s">
        <v>792</v>
      </c>
      <c r="AV28" t="s">
        <v>793</v>
      </c>
      <c r="AW28" t="s">
        <v>794</v>
      </c>
      <c r="AX28" t="s">
        <v>795</v>
      </c>
      <c r="AY28" t="s">
        <v>196</v>
      </c>
      <c r="AZ28" t="s">
        <v>196</v>
      </c>
      <c r="BA28" t="s">
        <v>196</v>
      </c>
      <c r="BB28" t="s">
        <v>196</v>
      </c>
      <c r="BC28" t="s">
        <v>196</v>
      </c>
      <c r="BD28" s="1">
        <v>357000000000</v>
      </c>
      <c r="BE28" s="1">
        <v>357000000000</v>
      </c>
      <c r="BF28" t="s">
        <v>196</v>
      </c>
      <c r="BG28" t="s">
        <v>196</v>
      </c>
      <c r="BH28" t="s">
        <v>196</v>
      </c>
      <c r="BI28" t="s">
        <v>196</v>
      </c>
      <c r="BJ28" t="s">
        <v>196</v>
      </c>
      <c r="BK28" t="s">
        <v>196</v>
      </c>
      <c r="BL28" t="s">
        <v>196</v>
      </c>
      <c r="BM28" t="s">
        <v>196</v>
      </c>
      <c r="BN28" t="s">
        <v>196</v>
      </c>
      <c r="BO28" t="s">
        <v>196</v>
      </c>
      <c r="BP28" t="s">
        <v>196</v>
      </c>
      <c r="BQ28" t="s">
        <v>196</v>
      </c>
      <c r="BR28" t="s">
        <v>196</v>
      </c>
      <c r="BS28" t="s">
        <v>196</v>
      </c>
      <c r="BT28" t="s">
        <v>196</v>
      </c>
      <c r="BU28" t="s">
        <v>196</v>
      </c>
      <c r="BV28" t="s">
        <v>196</v>
      </c>
      <c r="BW28" t="s">
        <v>196</v>
      </c>
      <c r="BX28" t="s">
        <v>196</v>
      </c>
      <c r="BY28" t="s">
        <v>196</v>
      </c>
      <c r="BZ28" t="s">
        <v>196</v>
      </c>
      <c r="CA28" t="s">
        <v>196</v>
      </c>
      <c r="CB28" t="s">
        <v>196</v>
      </c>
      <c r="CC28" t="s">
        <v>196</v>
      </c>
      <c r="CD28" t="s">
        <v>196</v>
      </c>
      <c r="CE28" t="s">
        <v>196</v>
      </c>
      <c r="CF28" t="s">
        <v>196</v>
      </c>
      <c r="CG28" t="s">
        <v>196</v>
      </c>
      <c r="CH28" t="s">
        <v>196</v>
      </c>
      <c r="CI28" t="s">
        <v>196</v>
      </c>
      <c r="CJ28" t="s">
        <v>196</v>
      </c>
      <c r="CK28" t="s">
        <v>196</v>
      </c>
      <c r="CL28" t="s">
        <v>196</v>
      </c>
      <c r="CM28" t="s">
        <v>196</v>
      </c>
      <c r="CN28" t="s">
        <v>196</v>
      </c>
      <c r="CO28" s="1" t="s">
        <v>196</v>
      </c>
      <c r="CP28" s="1" t="s">
        <v>196</v>
      </c>
      <c r="CQ28" t="s">
        <v>196</v>
      </c>
      <c r="CR28" t="s">
        <v>196</v>
      </c>
      <c r="CS28" t="s">
        <v>196</v>
      </c>
      <c r="CT28" t="s">
        <v>196</v>
      </c>
      <c r="CU28" t="s">
        <v>196</v>
      </c>
      <c r="CV28" t="s">
        <v>196</v>
      </c>
      <c r="CW28" t="s">
        <v>196</v>
      </c>
      <c r="CX28" t="s">
        <v>196</v>
      </c>
      <c r="CY28" t="s">
        <v>196</v>
      </c>
      <c r="CZ28" t="s">
        <v>196</v>
      </c>
      <c r="DA28" t="s">
        <v>196</v>
      </c>
      <c r="DB28" t="s">
        <v>196</v>
      </c>
      <c r="DC28" t="s">
        <v>196</v>
      </c>
      <c r="DD28" t="s">
        <v>196</v>
      </c>
      <c r="DE28" t="s">
        <v>196</v>
      </c>
      <c r="DF28" t="s">
        <v>196</v>
      </c>
      <c r="DG28" t="s">
        <v>196</v>
      </c>
      <c r="DH28" t="s">
        <v>196</v>
      </c>
      <c r="DI28" t="s">
        <v>196</v>
      </c>
      <c r="DJ28" t="s">
        <v>196</v>
      </c>
      <c r="DK28" t="s">
        <v>196</v>
      </c>
      <c r="DL28" t="s">
        <v>196</v>
      </c>
      <c r="DM28" t="s">
        <v>196</v>
      </c>
      <c r="DN28" t="s">
        <v>196</v>
      </c>
      <c r="DO28" t="s">
        <v>196</v>
      </c>
      <c r="DP28" t="s">
        <v>196</v>
      </c>
      <c r="DQ28" t="s">
        <v>196</v>
      </c>
      <c r="DR28" t="s">
        <v>196</v>
      </c>
      <c r="DS28" t="s">
        <v>196</v>
      </c>
      <c r="DT28" t="s">
        <v>196</v>
      </c>
      <c r="DU28" t="s">
        <v>196</v>
      </c>
      <c r="DV28" t="s">
        <v>196</v>
      </c>
      <c r="DW28" t="s">
        <v>196</v>
      </c>
      <c r="DX28" t="s">
        <v>196</v>
      </c>
      <c r="DY28" t="s">
        <v>196</v>
      </c>
      <c r="DZ28" t="s">
        <v>196</v>
      </c>
      <c r="EA28" t="s">
        <v>196</v>
      </c>
      <c r="EB28" t="s">
        <v>196</v>
      </c>
      <c r="EC28" t="s">
        <v>196</v>
      </c>
      <c r="ED28" t="s">
        <v>196</v>
      </c>
      <c r="EE28" t="s">
        <v>196</v>
      </c>
      <c r="EF28" t="s">
        <v>196</v>
      </c>
      <c r="EG28" t="s">
        <v>196</v>
      </c>
      <c r="EH28" t="s">
        <v>196</v>
      </c>
      <c r="EI28" t="s">
        <v>196</v>
      </c>
      <c r="EJ28" t="s">
        <v>196</v>
      </c>
      <c r="EK28" t="s">
        <v>196</v>
      </c>
      <c r="EL28" t="s">
        <v>196</v>
      </c>
      <c r="EM28" t="s">
        <v>196</v>
      </c>
      <c r="EN28" t="s">
        <v>196</v>
      </c>
      <c r="EO28" t="s">
        <v>196</v>
      </c>
      <c r="EP28" t="str">
        <f t="shared" si="0"/>
        <v>Active</v>
      </c>
    </row>
    <row r="29" spans="1:146">
      <c r="A29" t="s">
        <v>4</v>
      </c>
      <c r="B29" t="s">
        <v>241</v>
      </c>
      <c r="C29" t="s">
        <v>12</v>
      </c>
      <c r="D29" t="s">
        <v>172</v>
      </c>
      <c r="E29" t="s">
        <v>6</v>
      </c>
      <c r="F29" t="s">
        <v>796</v>
      </c>
      <c r="G29" t="s">
        <v>797</v>
      </c>
      <c r="H29" t="s">
        <v>797</v>
      </c>
      <c r="I29" t="s">
        <v>244</v>
      </c>
      <c r="J29" t="s">
        <v>798</v>
      </c>
      <c r="K29" t="s">
        <v>212</v>
      </c>
      <c r="L29" t="s">
        <v>246</v>
      </c>
      <c r="M29" t="s">
        <v>797</v>
      </c>
      <c r="N29">
        <v>897653</v>
      </c>
      <c r="O29">
        <v>897753</v>
      </c>
      <c r="P29" t="s">
        <v>799</v>
      </c>
      <c r="Q29" t="s">
        <v>800</v>
      </c>
      <c r="R29" t="s">
        <v>801</v>
      </c>
      <c r="S29" t="b">
        <v>1</v>
      </c>
      <c r="T29" t="s">
        <v>802</v>
      </c>
      <c r="U29" t="s">
        <v>196</v>
      </c>
      <c r="V29" t="s">
        <v>184</v>
      </c>
      <c r="W29">
        <v>62854</v>
      </c>
      <c r="X29" t="s">
        <v>541</v>
      </c>
      <c r="Y29" t="s">
        <v>542</v>
      </c>
      <c r="Z29" t="s">
        <v>16</v>
      </c>
      <c r="AA29" t="s">
        <v>543</v>
      </c>
      <c r="AB29" t="s">
        <v>188</v>
      </c>
      <c r="AC29" t="s">
        <v>189</v>
      </c>
      <c r="AD29" t="s">
        <v>253</v>
      </c>
      <c r="AE29" t="s">
        <v>803</v>
      </c>
      <c r="AF29" t="s">
        <v>804</v>
      </c>
      <c r="AG29" t="s">
        <v>805</v>
      </c>
      <c r="AH29" t="s">
        <v>806</v>
      </c>
      <c r="AI29">
        <v>20120815</v>
      </c>
      <c r="AJ29">
        <v>20121024</v>
      </c>
      <c r="AK29">
        <v>20150529</v>
      </c>
      <c r="AL29">
        <v>20121031</v>
      </c>
      <c r="AM29" t="s">
        <v>807</v>
      </c>
      <c r="AN29" t="s">
        <v>196</v>
      </c>
      <c r="AO29" t="s">
        <v>808</v>
      </c>
      <c r="AP29" t="s">
        <v>809</v>
      </c>
      <c r="AQ29">
        <v>897756</v>
      </c>
      <c r="AR29" t="s">
        <v>810</v>
      </c>
      <c r="AS29" t="s">
        <v>811</v>
      </c>
      <c r="AT29" t="s">
        <v>812</v>
      </c>
      <c r="AU29" t="s">
        <v>813</v>
      </c>
      <c r="AV29" t="s">
        <v>814</v>
      </c>
      <c r="AW29" t="s">
        <v>815</v>
      </c>
      <c r="AX29" t="s">
        <v>816</v>
      </c>
      <c r="AY29" t="s">
        <v>817</v>
      </c>
      <c r="AZ29" t="s">
        <v>818</v>
      </c>
      <c r="BA29" t="s">
        <v>819</v>
      </c>
      <c r="BB29" t="s">
        <v>820</v>
      </c>
      <c r="BC29" t="s">
        <v>262</v>
      </c>
      <c r="BD29" t="s">
        <v>196</v>
      </c>
      <c r="BE29" t="s">
        <v>196</v>
      </c>
      <c r="BF29" t="s">
        <v>821</v>
      </c>
      <c r="BG29" t="s">
        <v>822</v>
      </c>
      <c r="BH29" t="s">
        <v>823</v>
      </c>
      <c r="BI29" t="s">
        <v>824</v>
      </c>
      <c r="BJ29" t="s">
        <v>825</v>
      </c>
      <c r="BK29" t="s">
        <v>826</v>
      </c>
      <c r="BL29" t="s">
        <v>827</v>
      </c>
      <c r="BM29" t="s">
        <v>828</v>
      </c>
      <c r="BN29" t="s">
        <v>829</v>
      </c>
      <c r="BO29" t="s">
        <v>830</v>
      </c>
      <c r="BP29">
        <v>897757</v>
      </c>
      <c r="BQ29" t="s">
        <v>196</v>
      </c>
      <c r="BR29" t="s">
        <v>196</v>
      </c>
      <c r="BS29" t="s">
        <v>196</v>
      </c>
      <c r="BT29" t="s">
        <v>196</v>
      </c>
      <c r="BU29" t="s">
        <v>831</v>
      </c>
      <c r="BV29" t="s">
        <v>832</v>
      </c>
      <c r="BW29" t="s">
        <v>196</v>
      </c>
      <c r="BX29" t="s">
        <v>196</v>
      </c>
      <c r="BY29" t="s">
        <v>196</v>
      </c>
      <c r="BZ29" t="s">
        <v>196</v>
      </c>
      <c r="CA29" t="s">
        <v>196</v>
      </c>
      <c r="CB29">
        <v>897758</v>
      </c>
      <c r="CC29">
        <v>1433251</v>
      </c>
      <c r="CD29">
        <v>1724276</v>
      </c>
      <c r="CE29">
        <v>1724383</v>
      </c>
      <c r="CF29">
        <v>1724644</v>
      </c>
      <c r="CG29" t="s">
        <v>196</v>
      </c>
      <c r="CH29" t="s">
        <v>196</v>
      </c>
      <c r="CI29" t="s">
        <v>196</v>
      </c>
      <c r="CJ29" t="s">
        <v>833</v>
      </c>
      <c r="CK29" t="s">
        <v>196</v>
      </c>
      <c r="CL29" t="s">
        <v>196</v>
      </c>
      <c r="CM29" t="s">
        <v>196</v>
      </c>
      <c r="CN29" t="s">
        <v>196</v>
      </c>
      <c r="CO29" t="s">
        <v>196</v>
      </c>
      <c r="CP29" t="s">
        <v>196</v>
      </c>
      <c r="CQ29" t="s">
        <v>196</v>
      </c>
      <c r="CR29" t="s">
        <v>196</v>
      </c>
      <c r="CS29" t="s">
        <v>196</v>
      </c>
      <c r="CT29" t="s">
        <v>196</v>
      </c>
      <c r="CU29" t="s">
        <v>196</v>
      </c>
      <c r="CV29" t="s">
        <v>196</v>
      </c>
      <c r="CW29" t="s">
        <v>196</v>
      </c>
      <c r="CX29" t="s">
        <v>196</v>
      </c>
      <c r="CY29" t="s">
        <v>196</v>
      </c>
      <c r="CZ29" t="s">
        <v>196</v>
      </c>
      <c r="DA29" t="s">
        <v>196</v>
      </c>
      <c r="DB29" t="s">
        <v>196</v>
      </c>
      <c r="DC29" t="s">
        <v>196</v>
      </c>
      <c r="DD29" t="s">
        <v>196</v>
      </c>
      <c r="DE29" t="s">
        <v>196</v>
      </c>
      <c r="DF29" t="s">
        <v>196</v>
      </c>
      <c r="DG29" t="s">
        <v>196</v>
      </c>
      <c r="DH29" t="s">
        <v>196</v>
      </c>
      <c r="DI29" t="s">
        <v>196</v>
      </c>
      <c r="DJ29" t="s">
        <v>196</v>
      </c>
      <c r="DK29" t="s">
        <v>196</v>
      </c>
      <c r="DL29" t="s">
        <v>196</v>
      </c>
      <c r="DM29" t="s">
        <v>196</v>
      </c>
      <c r="DN29" t="s">
        <v>196</v>
      </c>
      <c r="DO29" t="s">
        <v>196</v>
      </c>
      <c r="DP29" t="s">
        <v>196</v>
      </c>
      <c r="DQ29" t="s">
        <v>196</v>
      </c>
      <c r="DR29" t="s">
        <v>196</v>
      </c>
      <c r="DS29" t="s">
        <v>196</v>
      </c>
      <c r="DT29" t="s">
        <v>196</v>
      </c>
      <c r="DU29" t="s">
        <v>196</v>
      </c>
      <c r="DV29" t="s">
        <v>196</v>
      </c>
      <c r="DW29" t="s">
        <v>196</v>
      </c>
      <c r="DX29" t="s">
        <v>196</v>
      </c>
      <c r="DY29" t="s">
        <v>196</v>
      </c>
      <c r="DZ29" t="s">
        <v>196</v>
      </c>
      <c r="EA29" t="s">
        <v>196</v>
      </c>
      <c r="EB29" t="s">
        <v>196</v>
      </c>
      <c r="EC29" t="s">
        <v>196</v>
      </c>
      <c r="ED29" t="s">
        <v>196</v>
      </c>
      <c r="EE29" t="s">
        <v>834</v>
      </c>
      <c r="EF29" t="s">
        <v>196</v>
      </c>
      <c r="EG29" t="s">
        <v>196</v>
      </c>
      <c r="EH29" t="s">
        <v>196</v>
      </c>
      <c r="EI29" t="s">
        <v>196</v>
      </c>
      <c r="EJ29" t="s">
        <v>196</v>
      </c>
      <c r="EK29" t="s">
        <v>196</v>
      </c>
      <c r="EL29" t="s">
        <v>196</v>
      </c>
      <c r="EM29" t="s">
        <v>196</v>
      </c>
      <c r="EN29" t="s">
        <v>196</v>
      </c>
      <c r="EO29" t="s">
        <v>196</v>
      </c>
      <c r="EP29" t="str">
        <f t="shared" si="0"/>
        <v>Inactive</v>
      </c>
    </row>
    <row r="30" spans="1:146">
      <c r="A30" t="s">
        <v>4</v>
      </c>
      <c r="B30" t="s">
        <v>835</v>
      </c>
      <c r="C30" t="s">
        <v>19</v>
      </c>
      <c r="D30" t="s">
        <v>172</v>
      </c>
      <c r="E30" t="s">
        <v>7</v>
      </c>
      <c r="F30" t="s">
        <v>836</v>
      </c>
      <c r="G30" t="s">
        <v>837</v>
      </c>
      <c r="H30" t="s">
        <v>838</v>
      </c>
      <c r="I30" t="s">
        <v>839</v>
      </c>
      <c r="J30" t="s">
        <v>840</v>
      </c>
      <c r="K30" t="s">
        <v>212</v>
      </c>
      <c r="L30" t="s">
        <v>213</v>
      </c>
      <c r="M30" t="s">
        <v>841</v>
      </c>
      <c r="N30">
        <v>310796</v>
      </c>
      <c r="O30">
        <v>310797</v>
      </c>
      <c r="P30" t="s">
        <v>842</v>
      </c>
      <c r="Q30" t="s">
        <v>843</v>
      </c>
      <c r="R30" t="s">
        <v>844</v>
      </c>
      <c r="S30" t="b">
        <v>1</v>
      </c>
      <c r="T30" t="s">
        <v>845</v>
      </c>
      <c r="U30" s="1">
        <v>301000000000</v>
      </c>
      <c r="V30" t="s">
        <v>184</v>
      </c>
      <c r="W30">
        <v>89864</v>
      </c>
      <c r="X30" t="s">
        <v>846</v>
      </c>
      <c r="Y30" t="s">
        <v>847</v>
      </c>
      <c r="Z30" t="s">
        <v>196</v>
      </c>
      <c r="AA30" t="s">
        <v>848</v>
      </c>
      <c r="AB30" t="s">
        <v>188</v>
      </c>
      <c r="AC30" t="s">
        <v>189</v>
      </c>
      <c r="AD30" t="s">
        <v>253</v>
      </c>
      <c r="AE30" t="s">
        <v>849</v>
      </c>
      <c r="AF30" t="s">
        <v>850</v>
      </c>
      <c r="AG30" t="s">
        <v>851</v>
      </c>
      <c r="AH30" t="s">
        <v>852</v>
      </c>
      <c r="AI30">
        <v>20220321</v>
      </c>
      <c r="AJ30">
        <v>20220406</v>
      </c>
      <c r="AK30">
        <v>20240828</v>
      </c>
      <c r="AL30">
        <v>20220413</v>
      </c>
      <c r="AM30" t="s">
        <v>853</v>
      </c>
      <c r="AN30" t="s">
        <v>196</v>
      </c>
      <c r="AO30" t="s">
        <v>854</v>
      </c>
      <c r="AP30" t="s">
        <v>855</v>
      </c>
      <c r="AQ30">
        <v>310809</v>
      </c>
      <c r="AR30" t="s">
        <v>856</v>
      </c>
      <c r="AS30" t="s">
        <v>857</v>
      </c>
      <c r="AT30" t="s">
        <v>858</v>
      </c>
      <c r="AU30" t="s">
        <v>196</v>
      </c>
      <c r="AV30" t="s">
        <v>196</v>
      </c>
      <c r="AW30" t="s">
        <v>196</v>
      </c>
      <c r="AX30" t="s">
        <v>196</v>
      </c>
      <c r="AY30" t="s">
        <v>196</v>
      </c>
      <c r="AZ30" t="s">
        <v>196</v>
      </c>
      <c r="BA30" t="s">
        <v>196</v>
      </c>
      <c r="BB30" t="s">
        <v>196</v>
      </c>
      <c r="BC30" t="s">
        <v>196</v>
      </c>
      <c r="BD30" s="1">
        <v>301000000000</v>
      </c>
      <c r="BE30" s="1">
        <v>301000000000</v>
      </c>
      <c r="BF30" t="s">
        <v>859</v>
      </c>
      <c r="BG30" t="s">
        <v>196</v>
      </c>
      <c r="BH30" t="s">
        <v>196</v>
      </c>
      <c r="BI30" t="s">
        <v>196</v>
      </c>
      <c r="BJ30" t="s">
        <v>196</v>
      </c>
      <c r="BK30" t="s">
        <v>196</v>
      </c>
      <c r="BL30" t="s">
        <v>196</v>
      </c>
      <c r="BM30" t="s">
        <v>196</v>
      </c>
      <c r="BN30" t="s">
        <v>196</v>
      </c>
      <c r="BO30" t="s">
        <v>196</v>
      </c>
      <c r="BP30">
        <v>809854</v>
      </c>
      <c r="BQ30" t="s">
        <v>860</v>
      </c>
      <c r="BR30" t="s">
        <v>861</v>
      </c>
      <c r="BS30" t="s">
        <v>862</v>
      </c>
      <c r="BT30" t="s">
        <v>863</v>
      </c>
      <c r="BU30" t="s">
        <v>196</v>
      </c>
      <c r="BV30" t="s">
        <v>196</v>
      </c>
      <c r="BW30" t="s">
        <v>196</v>
      </c>
      <c r="BX30" t="s">
        <v>196</v>
      </c>
      <c r="BY30" t="s">
        <v>196</v>
      </c>
      <c r="BZ30" t="s">
        <v>196</v>
      </c>
      <c r="CA30" t="s">
        <v>196</v>
      </c>
      <c r="CB30">
        <v>809858</v>
      </c>
      <c r="CC30">
        <v>882559</v>
      </c>
      <c r="CD30" t="s">
        <v>196</v>
      </c>
      <c r="CE30" t="s">
        <v>196</v>
      </c>
      <c r="CF30" t="s">
        <v>196</v>
      </c>
      <c r="CG30" t="s">
        <v>196</v>
      </c>
      <c r="CH30" t="s">
        <v>196</v>
      </c>
      <c r="CI30" t="s">
        <v>196</v>
      </c>
      <c r="CJ30" t="s">
        <v>196</v>
      </c>
      <c r="CK30" t="s">
        <v>196</v>
      </c>
      <c r="CL30" t="s">
        <v>196</v>
      </c>
      <c r="CM30" t="s">
        <v>196</v>
      </c>
      <c r="CN30" s="1">
        <v>301000000000</v>
      </c>
      <c r="CO30" s="1" t="s">
        <v>196</v>
      </c>
      <c r="CP30" s="1" t="s">
        <v>196</v>
      </c>
      <c r="CQ30" s="1" t="s">
        <v>196</v>
      </c>
      <c r="CR30" s="1" t="s">
        <v>196</v>
      </c>
      <c r="CS30" s="1" t="s">
        <v>196</v>
      </c>
      <c r="CT30" s="1" t="s">
        <v>196</v>
      </c>
      <c r="CU30" s="1" t="s">
        <v>196</v>
      </c>
      <c r="CV30" s="1" t="s">
        <v>196</v>
      </c>
      <c r="CW30" t="s">
        <v>864</v>
      </c>
      <c r="CX30" s="1" t="s">
        <v>196</v>
      </c>
      <c r="CY30" t="s">
        <v>865</v>
      </c>
      <c r="CZ30" s="1" t="s">
        <v>196</v>
      </c>
      <c r="DA30" t="s">
        <v>866</v>
      </c>
      <c r="DB30" s="1" t="s">
        <v>196</v>
      </c>
      <c r="DC30" t="s">
        <v>867</v>
      </c>
      <c r="DD30" s="1" t="s">
        <v>196</v>
      </c>
      <c r="DE30" t="s">
        <v>196</v>
      </c>
      <c r="DF30" s="1" t="s">
        <v>196</v>
      </c>
      <c r="DG30" t="s">
        <v>196</v>
      </c>
      <c r="DH30" s="1" t="s">
        <v>196</v>
      </c>
      <c r="DI30" t="s">
        <v>196</v>
      </c>
      <c r="DJ30" s="1" t="s">
        <v>196</v>
      </c>
      <c r="DK30" t="s">
        <v>196</v>
      </c>
      <c r="DL30" s="1" t="s">
        <v>196</v>
      </c>
      <c r="DM30" t="s">
        <v>196</v>
      </c>
      <c r="DN30" s="1" t="s">
        <v>196</v>
      </c>
      <c r="DO30" t="s">
        <v>196</v>
      </c>
      <c r="DP30" s="1" t="s">
        <v>196</v>
      </c>
      <c r="DQ30" t="s">
        <v>196</v>
      </c>
      <c r="DR30" s="1" t="s">
        <v>196</v>
      </c>
      <c r="DS30" t="s">
        <v>196</v>
      </c>
      <c r="DT30" s="1" t="s">
        <v>196</v>
      </c>
      <c r="DU30" t="s">
        <v>196</v>
      </c>
      <c r="DV30" s="1" t="s">
        <v>196</v>
      </c>
      <c r="DW30" t="s">
        <v>196</v>
      </c>
      <c r="DX30" s="1" t="s">
        <v>196</v>
      </c>
      <c r="DY30" t="s">
        <v>196</v>
      </c>
      <c r="DZ30" s="1" t="s">
        <v>196</v>
      </c>
      <c r="EA30" t="s">
        <v>196</v>
      </c>
      <c r="EB30" s="1" t="s">
        <v>196</v>
      </c>
      <c r="EC30" t="s">
        <v>196</v>
      </c>
      <c r="ED30" s="1" t="s">
        <v>196</v>
      </c>
      <c r="EE30" t="s">
        <v>196</v>
      </c>
      <c r="EF30" s="1" t="s">
        <v>196</v>
      </c>
      <c r="EG30" t="s">
        <v>196</v>
      </c>
      <c r="EH30" s="1" t="s">
        <v>196</v>
      </c>
      <c r="EI30" t="s">
        <v>196</v>
      </c>
      <c r="EJ30" s="1" t="s">
        <v>196</v>
      </c>
      <c r="EK30" t="s">
        <v>196</v>
      </c>
      <c r="EL30" s="1" t="s">
        <v>196</v>
      </c>
      <c r="EM30" t="s">
        <v>196</v>
      </c>
      <c r="EN30" s="1" t="s">
        <v>196</v>
      </c>
      <c r="EO30" t="s">
        <v>196</v>
      </c>
      <c r="EP30" t="str">
        <f t="shared" si="0"/>
        <v>Inactive</v>
      </c>
    </row>
    <row r="31" spans="1:146">
      <c r="A31" t="s">
        <v>3</v>
      </c>
      <c r="B31" t="s">
        <v>514</v>
      </c>
      <c r="C31" t="s">
        <v>21</v>
      </c>
      <c r="D31" t="s">
        <v>172</v>
      </c>
      <c r="E31" t="s">
        <v>7</v>
      </c>
      <c r="F31" t="s">
        <v>208</v>
      </c>
      <c r="G31" t="s">
        <v>209</v>
      </c>
      <c r="H31" t="s">
        <v>209</v>
      </c>
      <c r="I31" t="s">
        <v>515</v>
      </c>
      <c r="J31" t="s">
        <v>516</v>
      </c>
      <c r="K31" t="s">
        <v>212</v>
      </c>
      <c r="L31" t="s">
        <v>213</v>
      </c>
      <c r="M31" t="s">
        <v>214</v>
      </c>
      <c r="N31">
        <v>432400</v>
      </c>
      <c r="O31">
        <v>432401</v>
      </c>
      <c r="P31" t="s">
        <v>517</v>
      </c>
      <c r="Q31" t="s">
        <v>518</v>
      </c>
      <c r="R31" t="s">
        <v>519</v>
      </c>
      <c r="S31" t="s">
        <v>196</v>
      </c>
      <c r="T31" t="s">
        <v>218</v>
      </c>
      <c r="U31" t="s">
        <v>196</v>
      </c>
      <c r="V31" t="s">
        <v>184</v>
      </c>
      <c r="W31">
        <v>95897</v>
      </c>
      <c r="X31" t="s">
        <v>515</v>
      </c>
      <c r="Y31" t="s">
        <v>520</v>
      </c>
      <c r="Z31" t="s">
        <v>196</v>
      </c>
      <c r="AA31" t="s">
        <v>521</v>
      </c>
      <c r="AB31" t="s">
        <v>188</v>
      </c>
      <c r="AC31" t="s">
        <v>201</v>
      </c>
      <c r="AD31" t="s">
        <v>222</v>
      </c>
      <c r="AE31" t="s">
        <v>868</v>
      </c>
      <c r="AF31" t="s">
        <v>869</v>
      </c>
      <c r="AG31" t="s">
        <v>870</v>
      </c>
      <c r="AH31" t="s">
        <v>525</v>
      </c>
      <c r="AI31">
        <v>20241127</v>
      </c>
      <c r="AJ31">
        <v>20241205</v>
      </c>
      <c r="AK31" t="s">
        <v>196</v>
      </c>
      <c r="AL31">
        <v>20241211</v>
      </c>
      <c r="AM31" t="s">
        <v>871</v>
      </c>
      <c r="AN31" t="s">
        <v>196</v>
      </c>
      <c r="AO31" t="s">
        <v>527</v>
      </c>
      <c r="AP31" t="s">
        <v>528</v>
      </c>
      <c r="AQ31">
        <v>432402</v>
      </c>
      <c r="AR31" t="s">
        <v>529</v>
      </c>
      <c r="AS31" t="s">
        <v>530</v>
      </c>
      <c r="AT31" t="s">
        <v>196</v>
      </c>
      <c r="AU31" t="s">
        <v>196</v>
      </c>
      <c r="AV31" t="s">
        <v>196</v>
      </c>
      <c r="AW31" t="s">
        <v>196</v>
      </c>
      <c r="AX31" t="s">
        <v>196</v>
      </c>
      <c r="AY31" t="s">
        <v>196</v>
      </c>
      <c r="AZ31" t="s">
        <v>196</v>
      </c>
      <c r="BA31" t="s">
        <v>196</v>
      </c>
      <c r="BB31" t="s">
        <v>196</v>
      </c>
      <c r="BC31" t="s">
        <v>196</v>
      </c>
      <c r="BD31" t="s">
        <v>196</v>
      </c>
      <c r="BE31" t="s">
        <v>196</v>
      </c>
      <c r="BF31" t="s">
        <v>196</v>
      </c>
      <c r="BG31" t="s">
        <v>196</v>
      </c>
      <c r="BH31" t="s">
        <v>196</v>
      </c>
      <c r="BI31" t="s">
        <v>196</v>
      </c>
      <c r="BJ31" t="s">
        <v>196</v>
      </c>
      <c r="BK31" t="s">
        <v>196</v>
      </c>
      <c r="BL31" t="s">
        <v>196</v>
      </c>
      <c r="BM31" t="s">
        <v>196</v>
      </c>
      <c r="BN31" t="s">
        <v>196</v>
      </c>
      <c r="BO31" t="s">
        <v>196</v>
      </c>
      <c r="BP31" t="s">
        <v>196</v>
      </c>
      <c r="BQ31" t="s">
        <v>196</v>
      </c>
      <c r="BR31" t="s">
        <v>196</v>
      </c>
      <c r="BS31" t="s">
        <v>196</v>
      </c>
      <c r="BT31" t="s">
        <v>196</v>
      </c>
      <c r="BU31" t="s">
        <v>196</v>
      </c>
      <c r="BV31" t="s">
        <v>196</v>
      </c>
      <c r="BW31" t="s">
        <v>196</v>
      </c>
      <c r="BX31" t="s">
        <v>196</v>
      </c>
      <c r="BY31" t="s">
        <v>196</v>
      </c>
      <c r="BZ31" t="s">
        <v>196</v>
      </c>
      <c r="CA31" t="s">
        <v>196</v>
      </c>
      <c r="CB31" t="s">
        <v>196</v>
      </c>
      <c r="CC31" t="s">
        <v>196</v>
      </c>
      <c r="CD31" t="s">
        <v>196</v>
      </c>
      <c r="CE31" t="s">
        <v>196</v>
      </c>
      <c r="CF31" t="s">
        <v>196</v>
      </c>
      <c r="CG31" t="s">
        <v>196</v>
      </c>
      <c r="CH31" t="s">
        <v>196</v>
      </c>
      <c r="CI31" t="s">
        <v>196</v>
      </c>
      <c r="CJ31" t="s">
        <v>196</v>
      </c>
      <c r="CK31" t="s">
        <v>196</v>
      </c>
      <c r="CL31" t="s">
        <v>196</v>
      </c>
      <c r="CM31" t="s">
        <v>196</v>
      </c>
      <c r="CN31" t="s">
        <v>196</v>
      </c>
      <c r="CO31" t="s">
        <v>196</v>
      </c>
      <c r="CP31" t="s">
        <v>196</v>
      </c>
      <c r="CQ31" t="s">
        <v>196</v>
      </c>
      <c r="CR31" t="s">
        <v>196</v>
      </c>
      <c r="CS31" t="s">
        <v>196</v>
      </c>
      <c r="CT31" t="s">
        <v>196</v>
      </c>
      <c r="CU31" t="s">
        <v>196</v>
      </c>
      <c r="CV31" t="s">
        <v>196</v>
      </c>
      <c r="CW31" t="s">
        <v>196</v>
      </c>
      <c r="CX31" t="s">
        <v>196</v>
      </c>
      <c r="CY31" t="s">
        <v>196</v>
      </c>
      <c r="CZ31" t="s">
        <v>196</v>
      </c>
      <c r="DA31" t="s">
        <v>196</v>
      </c>
      <c r="DB31" t="s">
        <v>196</v>
      </c>
      <c r="DC31" t="s">
        <v>196</v>
      </c>
      <c r="DD31" t="s">
        <v>196</v>
      </c>
      <c r="DE31" t="s">
        <v>211</v>
      </c>
      <c r="DF31" t="s">
        <v>228</v>
      </c>
      <c r="DG31" t="s">
        <v>229</v>
      </c>
      <c r="DH31" t="s">
        <v>196</v>
      </c>
      <c r="DI31" t="s">
        <v>196</v>
      </c>
      <c r="DJ31" t="s">
        <v>196</v>
      </c>
      <c r="DK31" t="s">
        <v>196</v>
      </c>
      <c r="DL31" t="s">
        <v>196</v>
      </c>
      <c r="DM31" t="s">
        <v>196</v>
      </c>
      <c r="DN31" t="s">
        <v>196</v>
      </c>
      <c r="DO31" t="s">
        <v>196</v>
      </c>
      <c r="DP31" t="s">
        <v>196</v>
      </c>
      <c r="DQ31" t="s">
        <v>196</v>
      </c>
      <c r="DR31" t="s">
        <v>196</v>
      </c>
      <c r="DS31" t="s">
        <v>196</v>
      </c>
      <c r="DT31" t="s">
        <v>196</v>
      </c>
      <c r="DU31" t="s">
        <v>196</v>
      </c>
      <c r="DV31" t="s">
        <v>196</v>
      </c>
      <c r="DW31" t="s">
        <v>196</v>
      </c>
      <c r="DX31" t="s">
        <v>196</v>
      </c>
      <c r="DY31" t="s">
        <v>196</v>
      </c>
      <c r="DZ31" t="s">
        <v>196</v>
      </c>
      <c r="EA31" t="s">
        <v>196</v>
      </c>
      <c r="EB31" t="s">
        <v>196</v>
      </c>
      <c r="EC31" t="s">
        <v>196</v>
      </c>
      <c r="ED31" t="s">
        <v>196</v>
      </c>
      <c r="EE31" t="s">
        <v>196</v>
      </c>
      <c r="EF31" t="s">
        <v>196</v>
      </c>
      <c r="EG31" t="s">
        <v>196</v>
      </c>
      <c r="EH31" t="s">
        <v>196</v>
      </c>
      <c r="EI31" t="s">
        <v>196</v>
      </c>
      <c r="EJ31" t="s">
        <v>196</v>
      </c>
      <c r="EK31" t="s">
        <v>196</v>
      </c>
      <c r="EL31" t="s">
        <v>196</v>
      </c>
      <c r="EM31" t="s">
        <v>196</v>
      </c>
      <c r="EN31" t="s">
        <v>196</v>
      </c>
      <c r="EO31" t="s">
        <v>196</v>
      </c>
      <c r="EP31" t="str">
        <f t="shared" si="0"/>
        <v>Active</v>
      </c>
    </row>
    <row r="32" spans="1:146">
      <c r="A32" t="s">
        <v>3</v>
      </c>
      <c r="B32" t="s">
        <v>197</v>
      </c>
      <c r="C32" t="s">
        <v>21</v>
      </c>
      <c r="D32" t="s">
        <v>172</v>
      </c>
      <c r="E32" t="s">
        <v>7</v>
      </c>
      <c r="F32" t="s">
        <v>196</v>
      </c>
      <c r="G32" t="s">
        <v>196</v>
      </c>
      <c r="H32" t="s">
        <v>196</v>
      </c>
      <c r="I32" t="s">
        <v>196</v>
      </c>
      <c r="J32" t="s">
        <v>196</v>
      </c>
      <c r="K32" t="s">
        <v>196</v>
      </c>
      <c r="L32" t="s">
        <v>196</v>
      </c>
      <c r="M32" t="s">
        <v>196</v>
      </c>
      <c r="N32" t="s">
        <v>196</v>
      </c>
      <c r="O32" t="s">
        <v>196</v>
      </c>
      <c r="P32" t="s">
        <v>196</v>
      </c>
      <c r="Q32" t="s">
        <v>196</v>
      </c>
      <c r="R32" t="s">
        <v>196</v>
      </c>
      <c r="S32" t="s">
        <v>196</v>
      </c>
      <c r="T32" t="s">
        <v>196</v>
      </c>
      <c r="U32" s="1" t="s">
        <v>196</v>
      </c>
      <c r="V32" t="s">
        <v>184</v>
      </c>
      <c r="W32">
        <v>95826</v>
      </c>
      <c r="X32" t="s">
        <v>198</v>
      </c>
      <c r="Y32" t="s">
        <v>199</v>
      </c>
      <c r="Z32" t="s">
        <v>196</v>
      </c>
      <c r="AA32" t="s">
        <v>200</v>
      </c>
      <c r="AB32" t="s">
        <v>188</v>
      </c>
      <c r="AC32" t="s">
        <v>201</v>
      </c>
      <c r="AD32" t="s">
        <v>202</v>
      </c>
      <c r="AE32" t="s">
        <v>872</v>
      </c>
      <c r="AF32" t="s">
        <v>873</v>
      </c>
      <c r="AG32" t="s">
        <v>196</v>
      </c>
      <c r="AH32" t="s">
        <v>205</v>
      </c>
      <c r="AI32">
        <v>20241106</v>
      </c>
      <c r="AJ32">
        <v>20241202</v>
      </c>
      <c r="AK32" t="s">
        <v>196</v>
      </c>
      <c r="AL32">
        <v>20241211</v>
      </c>
      <c r="AM32" t="s">
        <v>206</v>
      </c>
      <c r="AN32" t="s">
        <v>196</v>
      </c>
      <c r="AO32" t="s">
        <v>196</v>
      </c>
      <c r="AP32" t="s">
        <v>196</v>
      </c>
      <c r="AQ32" t="s">
        <v>196</v>
      </c>
      <c r="AR32" t="s">
        <v>196</v>
      </c>
      <c r="AS32" t="s">
        <v>196</v>
      </c>
      <c r="AT32" t="s">
        <v>196</v>
      </c>
      <c r="AU32" t="s">
        <v>196</v>
      </c>
      <c r="AV32" t="s">
        <v>196</v>
      </c>
      <c r="AW32" t="s">
        <v>196</v>
      </c>
      <c r="AX32" t="s">
        <v>196</v>
      </c>
      <c r="AY32" t="s">
        <v>196</v>
      </c>
      <c r="AZ32" t="s">
        <v>196</v>
      </c>
      <c r="BA32" t="s">
        <v>196</v>
      </c>
      <c r="BB32" t="s">
        <v>196</v>
      </c>
      <c r="BC32" t="s">
        <v>196</v>
      </c>
      <c r="BD32" s="1" t="s">
        <v>196</v>
      </c>
      <c r="BE32" s="1" t="s">
        <v>196</v>
      </c>
      <c r="BF32" t="s">
        <v>196</v>
      </c>
      <c r="BG32" t="s">
        <v>196</v>
      </c>
      <c r="BH32" t="s">
        <v>196</v>
      </c>
      <c r="BI32" t="s">
        <v>196</v>
      </c>
      <c r="BJ32" t="s">
        <v>196</v>
      </c>
      <c r="BK32" t="s">
        <v>196</v>
      </c>
      <c r="BL32" t="s">
        <v>196</v>
      </c>
      <c r="BM32" t="s">
        <v>196</v>
      </c>
      <c r="BN32" t="s">
        <v>196</v>
      </c>
      <c r="BO32" t="s">
        <v>196</v>
      </c>
      <c r="BP32" t="s">
        <v>196</v>
      </c>
      <c r="BQ32" t="s">
        <v>196</v>
      </c>
      <c r="BR32" t="s">
        <v>196</v>
      </c>
      <c r="BS32" t="s">
        <v>196</v>
      </c>
      <c r="BT32" t="s">
        <v>196</v>
      </c>
      <c r="BU32" t="s">
        <v>196</v>
      </c>
      <c r="BV32" t="s">
        <v>196</v>
      </c>
      <c r="BW32" t="s">
        <v>196</v>
      </c>
      <c r="BX32" t="s">
        <v>196</v>
      </c>
      <c r="BY32" t="s">
        <v>196</v>
      </c>
      <c r="BZ32" t="s">
        <v>196</v>
      </c>
      <c r="CA32" t="s">
        <v>196</v>
      </c>
      <c r="CB32" t="s">
        <v>196</v>
      </c>
      <c r="CC32" t="s">
        <v>196</v>
      </c>
      <c r="CD32" t="s">
        <v>196</v>
      </c>
      <c r="CE32" t="s">
        <v>196</v>
      </c>
      <c r="CF32" t="s">
        <v>196</v>
      </c>
      <c r="CG32" t="s">
        <v>196</v>
      </c>
      <c r="CH32" t="s">
        <v>196</v>
      </c>
      <c r="CI32" t="s">
        <v>196</v>
      </c>
      <c r="CJ32" t="s">
        <v>196</v>
      </c>
      <c r="CK32" t="s">
        <v>196</v>
      </c>
      <c r="CL32" t="s">
        <v>196</v>
      </c>
      <c r="CM32" t="s">
        <v>196</v>
      </c>
      <c r="CN32" t="s">
        <v>196</v>
      </c>
      <c r="CO32" s="1" t="s">
        <v>196</v>
      </c>
      <c r="CP32" s="1" t="s">
        <v>196</v>
      </c>
      <c r="CQ32" t="s">
        <v>196</v>
      </c>
      <c r="CR32" t="s">
        <v>196</v>
      </c>
      <c r="CS32" t="s">
        <v>196</v>
      </c>
      <c r="CT32" t="s">
        <v>196</v>
      </c>
      <c r="CU32" t="s">
        <v>196</v>
      </c>
      <c r="CV32" t="s">
        <v>196</v>
      </c>
      <c r="CW32" t="s">
        <v>196</v>
      </c>
      <c r="CX32" t="s">
        <v>196</v>
      </c>
      <c r="CY32" t="s">
        <v>196</v>
      </c>
      <c r="CZ32" t="s">
        <v>196</v>
      </c>
      <c r="DA32" t="s">
        <v>196</v>
      </c>
      <c r="DB32" t="s">
        <v>196</v>
      </c>
      <c r="DC32" t="s">
        <v>196</v>
      </c>
      <c r="DD32" t="s">
        <v>196</v>
      </c>
      <c r="DE32" t="s">
        <v>196</v>
      </c>
      <c r="DF32" t="s">
        <v>196</v>
      </c>
      <c r="DG32" t="s">
        <v>196</v>
      </c>
      <c r="DH32" t="s">
        <v>196</v>
      </c>
      <c r="DI32" t="s">
        <v>196</v>
      </c>
      <c r="DJ32" t="s">
        <v>196</v>
      </c>
      <c r="DK32" t="s">
        <v>196</v>
      </c>
      <c r="DL32" t="s">
        <v>196</v>
      </c>
      <c r="DM32" t="s">
        <v>196</v>
      </c>
      <c r="DN32" t="s">
        <v>196</v>
      </c>
      <c r="DO32" t="s">
        <v>196</v>
      </c>
      <c r="DP32" t="s">
        <v>196</v>
      </c>
      <c r="DQ32" t="s">
        <v>196</v>
      </c>
      <c r="DR32" t="s">
        <v>196</v>
      </c>
      <c r="DS32" t="s">
        <v>196</v>
      </c>
      <c r="DT32" t="s">
        <v>196</v>
      </c>
      <c r="DU32" t="s">
        <v>196</v>
      </c>
      <c r="DV32" t="s">
        <v>196</v>
      </c>
      <c r="DW32" t="s">
        <v>196</v>
      </c>
      <c r="DX32" t="s">
        <v>196</v>
      </c>
      <c r="DY32" t="s">
        <v>196</v>
      </c>
      <c r="DZ32" t="s">
        <v>196</v>
      </c>
      <c r="EA32" t="s">
        <v>196</v>
      </c>
      <c r="EB32" t="s">
        <v>196</v>
      </c>
      <c r="EC32" t="s">
        <v>196</v>
      </c>
      <c r="ED32" t="s">
        <v>196</v>
      </c>
      <c r="EE32" t="s">
        <v>196</v>
      </c>
      <c r="EF32" t="s">
        <v>196</v>
      </c>
      <c r="EG32" t="s">
        <v>196</v>
      </c>
      <c r="EH32" t="s">
        <v>196</v>
      </c>
      <c r="EI32" t="s">
        <v>196</v>
      </c>
      <c r="EJ32" t="s">
        <v>196</v>
      </c>
      <c r="EK32" t="s">
        <v>196</v>
      </c>
      <c r="EL32" t="s">
        <v>196</v>
      </c>
      <c r="EM32" t="s">
        <v>196</v>
      </c>
      <c r="EN32" t="s">
        <v>196</v>
      </c>
      <c r="EO32" t="s">
        <v>196</v>
      </c>
      <c r="EP32" t="str">
        <f t="shared" si="0"/>
        <v>Active</v>
      </c>
    </row>
    <row r="33" spans="1:146">
      <c r="A33" t="s">
        <v>4</v>
      </c>
      <c r="B33" t="s">
        <v>294</v>
      </c>
      <c r="C33" t="s">
        <v>17</v>
      </c>
      <c r="D33" t="s">
        <v>172</v>
      </c>
      <c r="E33" t="s">
        <v>8</v>
      </c>
      <c r="F33" t="s">
        <v>874</v>
      </c>
      <c r="G33" t="s">
        <v>875</v>
      </c>
      <c r="H33" t="s">
        <v>876</v>
      </c>
      <c r="I33" t="s">
        <v>877</v>
      </c>
      <c r="J33" t="s">
        <v>878</v>
      </c>
      <c r="K33" t="s">
        <v>212</v>
      </c>
      <c r="L33" t="s">
        <v>879</v>
      </c>
      <c r="M33" t="s">
        <v>880</v>
      </c>
      <c r="N33">
        <v>896231</v>
      </c>
      <c r="O33">
        <v>896235</v>
      </c>
      <c r="P33" t="s">
        <v>881</v>
      </c>
      <c r="Q33" t="s">
        <v>882</v>
      </c>
      <c r="R33" t="s">
        <v>883</v>
      </c>
      <c r="S33" t="b">
        <v>1</v>
      </c>
      <c r="T33" t="s">
        <v>884</v>
      </c>
      <c r="U33" t="s">
        <v>196</v>
      </c>
      <c r="V33" t="s">
        <v>184</v>
      </c>
      <c r="W33">
        <v>63707</v>
      </c>
      <c r="X33" t="s">
        <v>304</v>
      </c>
      <c r="Y33" t="s">
        <v>305</v>
      </c>
      <c r="Z33" t="s">
        <v>16</v>
      </c>
      <c r="AA33" t="s">
        <v>306</v>
      </c>
      <c r="AB33" t="s">
        <v>188</v>
      </c>
      <c r="AC33" t="s">
        <v>201</v>
      </c>
      <c r="AD33" t="s">
        <v>885</v>
      </c>
      <c r="AE33" t="s">
        <v>886</v>
      </c>
      <c r="AF33" t="s">
        <v>887</v>
      </c>
      <c r="AG33" t="s">
        <v>888</v>
      </c>
      <c r="AH33" t="s">
        <v>889</v>
      </c>
      <c r="AI33">
        <v>20121024</v>
      </c>
      <c r="AJ33">
        <v>20121123</v>
      </c>
      <c r="AK33">
        <v>20140911</v>
      </c>
      <c r="AL33">
        <v>20121205</v>
      </c>
      <c r="AM33" t="s">
        <v>890</v>
      </c>
      <c r="AN33" t="s">
        <v>196</v>
      </c>
      <c r="AO33" t="s">
        <v>891</v>
      </c>
      <c r="AP33" t="s">
        <v>892</v>
      </c>
      <c r="AQ33">
        <v>896236</v>
      </c>
      <c r="AR33" t="s">
        <v>893</v>
      </c>
      <c r="AS33" t="s">
        <v>894</v>
      </c>
      <c r="AT33" t="s">
        <v>895</v>
      </c>
      <c r="AU33" t="s">
        <v>896</v>
      </c>
      <c r="AV33" t="s">
        <v>897</v>
      </c>
      <c r="AW33" t="s">
        <v>196</v>
      </c>
      <c r="AX33" t="s">
        <v>196</v>
      </c>
      <c r="AY33" t="s">
        <v>196</v>
      </c>
      <c r="AZ33" t="s">
        <v>196</v>
      </c>
      <c r="BA33" t="s">
        <v>196</v>
      </c>
      <c r="BB33" t="s">
        <v>196</v>
      </c>
      <c r="BC33" t="s">
        <v>196</v>
      </c>
      <c r="BD33" t="s">
        <v>196</v>
      </c>
      <c r="BE33" t="s">
        <v>196</v>
      </c>
      <c r="BF33" t="s">
        <v>196</v>
      </c>
      <c r="BG33" t="s">
        <v>196</v>
      </c>
      <c r="BH33" t="s">
        <v>196</v>
      </c>
      <c r="BI33" t="s">
        <v>196</v>
      </c>
      <c r="BJ33" t="s">
        <v>196</v>
      </c>
      <c r="BK33" t="s">
        <v>196</v>
      </c>
      <c r="BL33" t="s">
        <v>196</v>
      </c>
      <c r="BM33" t="s">
        <v>196</v>
      </c>
      <c r="BN33" t="s">
        <v>196</v>
      </c>
      <c r="BO33" t="s">
        <v>196</v>
      </c>
      <c r="BP33">
        <v>896237</v>
      </c>
      <c r="BQ33" t="s">
        <v>196</v>
      </c>
      <c r="BR33" t="s">
        <v>196</v>
      </c>
      <c r="BS33" t="s">
        <v>196</v>
      </c>
      <c r="BT33" t="s">
        <v>196</v>
      </c>
      <c r="BU33" t="s">
        <v>196</v>
      </c>
      <c r="BV33" t="s">
        <v>196</v>
      </c>
      <c r="BW33" t="s">
        <v>196</v>
      </c>
      <c r="BX33" t="s">
        <v>196</v>
      </c>
      <c r="BY33" t="s">
        <v>196</v>
      </c>
      <c r="BZ33" t="s">
        <v>196</v>
      </c>
      <c r="CA33" t="s">
        <v>196</v>
      </c>
      <c r="CB33">
        <v>896239</v>
      </c>
      <c r="CC33">
        <v>896243</v>
      </c>
      <c r="CD33">
        <v>896244</v>
      </c>
      <c r="CE33">
        <v>896245</v>
      </c>
      <c r="CF33">
        <v>896267</v>
      </c>
      <c r="CG33">
        <v>896271</v>
      </c>
      <c r="CH33">
        <v>896272</v>
      </c>
      <c r="CI33">
        <v>896273</v>
      </c>
      <c r="CJ33" t="s">
        <v>196</v>
      </c>
      <c r="CK33" t="s">
        <v>196</v>
      </c>
      <c r="CL33" t="s">
        <v>196</v>
      </c>
      <c r="CM33" t="s">
        <v>196</v>
      </c>
      <c r="CN33" t="s">
        <v>196</v>
      </c>
      <c r="CO33" t="s">
        <v>196</v>
      </c>
      <c r="CP33" t="s">
        <v>196</v>
      </c>
      <c r="CQ33" t="s">
        <v>196</v>
      </c>
      <c r="CR33" t="s">
        <v>196</v>
      </c>
      <c r="CS33" t="s">
        <v>196</v>
      </c>
      <c r="CT33" t="s">
        <v>196</v>
      </c>
      <c r="CU33" t="s">
        <v>196</v>
      </c>
      <c r="CV33" t="s">
        <v>196</v>
      </c>
      <c r="CW33" t="s">
        <v>898</v>
      </c>
      <c r="CX33" t="s">
        <v>196</v>
      </c>
      <c r="CY33" t="s">
        <v>196</v>
      </c>
      <c r="CZ33" t="s">
        <v>196</v>
      </c>
      <c r="DA33" t="s">
        <v>196</v>
      </c>
      <c r="DB33" t="s">
        <v>196</v>
      </c>
      <c r="DC33" t="s">
        <v>899</v>
      </c>
      <c r="DD33" t="s">
        <v>196</v>
      </c>
      <c r="DE33" t="s">
        <v>196</v>
      </c>
      <c r="DF33" t="s">
        <v>196</v>
      </c>
      <c r="DG33" t="s">
        <v>196</v>
      </c>
      <c r="DH33" t="s">
        <v>196</v>
      </c>
      <c r="DI33" t="s">
        <v>196</v>
      </c>
      <c r="DJ33" t="s">
        <v>196</v>
      </c>
      <c r="DK33" t="s">
        <v>196</v>
      </c>
      <c r="DL33" t="s">
        <v>196</v>
      </c>
      <c r="DM33" t="s">
        <v>196</v>
      </c>
      <c r="DN33" t="s">
        <v>196</v>
      </c>
      <c r="DO33" t="s">
        <v>196</v>
      </c>
      <c r="DP33" t="s">
        <v>196</v>
      </c>
      <c r="DQ33" t="s">
        <v>196</v>
      </c>
      <c r="DR33" t="s">
        <v>196</v>
      </c>
      <c r="DS33" t="s">
        <v>196</v>
      </c>
      <c r="DT33" t="s">
        <v>196</v>
      </c>
      <c r="DU33" t="s">
        <v>196</v>
      </c>
      <c r="DV33" t="s">
        <v>196</v>
      </c>
      <c r="DW33" t="s">
        <v>196</v>
      </c>
      <c r="DX33" t="s">
        <v>196</v>
      </c>
      <c r="DY33" t="s">
        <v>196</v>
      </c>
      <c r="DZ33" t="s">
        <v>196</v>
      </c>
      <c r="EA33" t="s">
        <v>196</v>
      </c>
      <c r="EB33" t="s">
        <v>196</v>
      </c>
      <c r="EC33" t="s">
        <v>196</v>
      </c>
      <c r="ED33" t="s">
        <v>196</v>
      </c>
      <c r="EE33" t="s">
        <v>196</v>
      </c>
      <c r="EF33" t="s">
        <v>196</v>
      </c>
      <c r="EG33" t="s">
        <v>196</v>
      </c>
      <c r="EH33" t="s">
        <v>196</v>
      </c>
      <c r="EI33" t="s">
        <v>196</v>
      </c>
      <c r="EJ33" t="s">
        <v>196</v>
      </c>
      <c r="EK33" t="s">
        <v>196</v>
      </c>
      <c r="EL33" t="s">
        <v>196</v>
      </c>
      <c r="EM33" t="s">
        <v>196</v>
      </c>
      <c r="EN33" t="s">
        <v>196</v>
      </c>
      <c r="EO33" t="s">
        <v>196</v>
      </c>
      <c r="EP33" t="str">
        <f t="shared" si="0"/>
        <v>Inactive</v>
      </c>
    </row>
    <row r="34" spans="1:146">
      <c r="A34" t="s">
        <v>4</v>
      </c>
      <c r="B34" t="s">
        <v>835</v>
      </c>
      <c r="C34" t="s">
        <v>19</v>
      </c>
      <c r="D34" t="s">
        <v>172</v>
      </c>
      <c r="E34" t="s">
        <v>7</v>
      </c>
      <c r="F34" t="s">
        <v>836</v>
      </c>
      <c r="G34" t="s">
        <v>837</v>
      </c>
      <c r="H34" t="s">
        <v>838</v>
      </c>
      <c r="I34" t="s">
        <v>839</v>
      </c>
      <c r="J34" t="s">
        <v>840</v>
      </c>
      <c r="K34" t="s">
        <v>212</v>
      </c>
      <c r="L34" t="s">
        <v>213</v>
      </c>
      <c r="M34" t="s">
        <v>841</v>
      </c>
      <c r="N34">
        <v>310796</v>
      </c>
      <c r="O34">
        <v>310797</v>
      </c>
      <c r="P34" t="s">
        <v>842</v>
      </c>
      <c r="Q34" t="s">
        <v>843</v>
      </c>
      <c r="R34" t="s">
        <v>844</v>
      </c>
      <c r="S34" t="b">
        <v>1</v>
      </c>
      <c r="T34" t="s">
        <v>845</v>
      </c>
      <c r="U34" s="1">
        <v>301000000000</v>
      </c>
      <c r="V34" t="s">
        <v>184</v>
      </c>
      <c r="W34">
        <v>89864</v>
      </c>
      <c r="X34" t="s">
        <v>846</v>
      </c>
      <c r="Y34" t="s">
        <v>847</v>
      </c>
      <c r="Z34" t="s">
        <v>196</v>
      </c>
      <c r="AA34" t="s">
        <v>848</v>
      </c>
      <c r="AB34" t="s">
        <v>188</v>
      </c>
      <c r="AC34" t="s">
        <v>189</v>
      </c>
      <c r="AD34" t="s">
        <v>253</v>
      </c>
      <c r="AE34" t="s">
        <v>900</v>
      </c>
      <c r="AF34" t="s">
        <v>901</v>
      </c>
      <c r="AG34" t="s">
        <v>902</v>
      </c>
      <c r="AH34" t="s">
        <v>852</v>
      </c>
      <c r="AI34">
        <v>20220321</v>
      </c>
      <c r="AJ34">
        <v>20220406</v>
      </c>
      <c r="AK34">
        <v>20240828</v>
      </c>
      <c r="AL34">
        <v>20220413</v>
      </c>
      <c r="AM34" t="s">
        <v>903</v>
      </c>
      <c r="AN34" t="s">
        <v>196</v>
      </c>
      <c r="AO34" t="s">
        <v>854</v>
      </c>
      <c r="AP34" t="s">
        <v>855</v>
      </c>
      <c r="AQ34">
        <v>310809</v>
      </c>
      <c r="AR34" t="s">
        <v>856</v>
      </c>
      <c r="AS34" t="s">
        <v>857</v>
      </c>
      <c r="AT34" t="s">
        <v>858</v>
      </c>
      <c r="AU34" t="s">
        <v>196</v>
      </c>
      <c r="AV34" t="s">
        <v>196</v>
      </c>
      <c r="AW34" t="s">
        <v>196</v>
      </c>
      <c r="AX34" t="s">
        <v>196</v>
      </c>
      <c r="AY34" t="s">
        <v>196</v>
      </c>
      <c r="AZ34" t="s">
        <v>196</v>
      </c>
      <c r="BA34" t="s">
        <v>196</v>
      </c>
      <c r="BB34" t="s">
        <v>196</v>
      </c>
      <c r="BC34" t="s">
        <v>196</v>
      </c>
      <c r="BD34" s="1">
        <v>301000000000</v>
      </c>
      <c r="BE34" s="1">
        <v>301000000000</v>
      </c>
      <c r="BF34" t="s">
        <v>859</v>
      </c>
      <c r="BG34" t="s">
        <v>196</v>
      </c>
      <c r="BH34" t="s">
        <v>196</v>
      </c>
      <c r="BI34" t="s">
        <v>196</v>
      </c>
      <c r="BJ34" t="s">
        <v>196</v>
      </c>
      <c r="BK34" t="s">
        <v>196</v>
      </c>
      <c r="BL34" t="s">
        <v>196</v>
      </c>
      <c r="BM34" t="s">
        <v>196</v>
      </c>
      <c r="BN34" t="s">
        <v>196</v>
      </c>
      <c r="BO34" t="s">
        <v>196</v>
      </c>
      <c r="BP34">
        <v>809854</v>
      </c>
      <c r="BQ34" t="s">
        <v>860</v>
      </c>
      <c r="BR34" t="s">
        <v>861</v>
      </c>
      <c r="BS34" t="s">
        <v>862</v>
      </c>
      <c r="BT34" t="s">
        <v>863</v>
      </c>
      <c r="BU34" t="s">
        <v>196</v>
      </c>
      <c r="BV34" t="s">
        <v>196</v>
      </c>
      <c r="BW34" t="s">
        <v>196</v>
      </c>
      <c r="BX34" t="s">
        <v>196</v>
      </c>
      <c r="BY34" t="s">
        <v>196</v>
      </c>
      <c r="BZ34" t="s">
        <v>196</v>
      </c>
      <c r="CA34" t="s">
        <v>196</v>
      </c>
      <c r="CB34">
        <v>809858</v>
      </c>
      <c r="CC34">
        <v>882559</v>
      </c>
      <c r="CD34" t="s">
        <v>196</v>
      </c>
      <c r="CE34" t="s">
        <v>196</v>
      </c>
      <c r="CF34" t="s">
        <v>196</v>
      </c>
      <c r="CG34" t="s">
        <v>196</v>
      </c>
      <c r="CH34" t="s">
        <v>196</v>
      </c>
      <c r="CI34" t="s">
        <v>196</v>
      </c>
      <c r="CJ34" t="s">
        <v>196</v>
      </c>
      <c r="CK34" t="s">
        <v>196</v>
      </c>
      <c r="CL34" t="s">
        <v>196</v>
      </c>
      <c r="CM34" t="s">
        <v>196</v>
      </c>
      <c r="CN34" s="1">
        <v>301000000000</v>
      </c>
      <c r="CO34" s="1" t="s">
        <v>196</v>
      </c>
      <c r="CP34" s="1" t="s">
        <v>196</v>
      </c>
      <c r="CQ34" s="1" t="s">
        <v>196</v>
      </c>
      <c r="CR34" s="1" t="s">
        <v>196</v>
      </c>
      <c r="CS34" s="1" t="s">
        <v>196</v>
      </c>
      <c r="CT34" s="1" t="s">
        <v>196</v>
      </c>
      <c r="CU34" s="1" t="s">
        <v>196</v>
      </c>
      <c r="CV34" s="1" t="s">
        <v>196</v>
      </c>
      <c r="CW34" t="s">
        <v>864</v>
      </c>
      <c r="CX34" s="1" t="s">
        <v>196</v>
      </c>
      <c r="CY34" t="s">
        <v>865</v>
      </c>
      <c r="CZ34" s="1" t="s">
        <v>196</v>
      </c>
      <c r="DA34" t="s">
        <v>866</v>
      </c>
      <c r="DB34" s="1" t="s">
        <v>196</v>
      </c>
      <c r="DC34" t="s">
        <v>867</v>
      </c>
      <c r="DD34" s="1" t="s">
        <v>196</v>
      </c>
      <c r="DE34" t="s">
        <v>196</v>
      </c>
      <c r="DF34" s="1" t="s">
        <v>196</v>
      </c>
      <c r="DG34" t="s">
        <v>196</v>
      </c>
      <c r="DH34" s="1" t="s">
        <v>196</v>
      </c>
      <c r="DI34" t="s">
        <v>196</v>
      </c>
      <c r="DJ34" s="1" t="s">
        <v>196</v>
      </c>
      <c r="DK34" t="s">
        <v>196</v>
      </c>
      <c r="DL34" s="1" t="s">
        <v>196</v>
      </c>
      <c r="DM34" t="s">
        <v>196</v>
      </c>
      <c r="DN34" s="1" t="s">
        <v>196</v>
      </c>
      <c r="DO34" t="s">
        <v>196</v>
      </c>
      <c r="DP34" s="1" t="s">
        <v>196</v>
      </c>
      <c r="DQ34" t="s">
        <v>196</v>
      </c>
      <c r="DR34" s="1" t="s">
        <v>196</v>
      </c>
      <c r="DS34" t="s">
        <v>196</v>
      </c>
      <c r="DT34" s="1" t="s">
        <v>196</v>
      </c>
      <c r="DU34" t="s">
        <v>196</v>
      </c>
      <c r="DV34" s="1" t="s">
        <v>196</v>
      </c>
      <c r="DW34" t="s">
        <v>196</v>
      </c>
      <c r="DX34" s="1" t="s">
        <v>196</v>
      </c>
      <c r="DY34" t="s">
        <v>196</v>
      </c>
      <c r="DZ34" s="1" t="s">
        <v>196</v>
      </c>
      <c r="EA34" t="s">
        <v>196</v>
      </c>
      <c r="EB34" s="1" t="s">
        <v>196</v>
      </c>
      <c r="EC34" t="s">
        <v>196</v>
      </c>
      <c r="ED34" s="1" t="s">
        <v>196</v>
      </c>
      <c r="EE34" t="s">
        <v>196</v>
      </c>
      <c r="EF34" s="1" t="s">
        <v>196</v>
      </c>
      <c r="EG34" t="s">
        <v>196</v>
      </c>
      <c r="EH34" s="1" t="s">
        <v>196</v>
      </c>
      <c r="EI34" t="s">
        <v>196</v>
      </c>
      <c r="EJ34" s="1" t="s">
        <v>196</v>
      </c>
      <c r="EK34" t="s">
        <v>196</v>
      </c>
      <c r="EL34" s="1" t="s">
        <v>196</v>
      </c>
      <c r="EM34" t="s">
        <v>196</v>
      </c>
      <c r="EN34" s="1" t="s">
        <v>196</v>
      </c>
      <c r="EO34" t="s">
        <v>196</v>
      </c>
      <c r="EP34" t="str">
        <f t="shared" ref="EP34:EP65" si="1">IF(A34="Ongoing", "Active", "Inactive")</f>
        <v>Inactive</v>
      </c>
    </row>
    <row r="35" spans="1:146">
      <c r="A35" t="s">
        <v>3</v>
      </c>
      <c r="B35" t="s">
        <v>904</v>
      </c>
      <c r="C35" t="s">
        <v>10</v>
      </c>
      <c r="D35" t="s">
        <v>172</v>
      </c>
      <c r="E35" t="s">
        <v>6</v>
      </c>
      <c r="F35" t="s">
        <v>196</v>
      </c>
      <c r="G35" t="s">
        <v>196</v>
      </c>
      <c r="H35" t="s">
        <v>196</v>
      </c>
      <c r="I35" t="s">
        <v>196</v>
      </c>
      <c r="J35" t="s">
        <v>196</v>
      </c>
      <c r="K35" t="s">
        <v>196</v>
      </c>
      <c r="L35" t="s">
        <v>196</v>
      </c>
      <c r="M35" t="s">
        <v>196</v>
      </c>
      <c r="N35" t="s">
        <v>196</v>
      </c>
      <c r="O35" t="s">
        <v>196</v>
      </c>
      <c r="P35" t="s">
        <v>196</v>
      </c>
      <c r="Q35" t="s">
        <v>196</v>
      </c>
      <c r="R35" t="s">
        <v>196</v>
      </c>
      <c r="S35" t="s">
        <v>196</v>
      </c>
      <c r="T35" t="s">
        <v>196</v>
      </c>
      <c r="U35" t="s">
        <v>196</v>
      </c>
      <c r="V35" t="s">
        <v>184</v>
      </c>
      <c r="W35">
        <v>95714</v>
      </c>
      <c r="X35" t="s">
        <v>905</v>
      </c>
      <c r="Y35" t="s">
        <v>906</v>
      </c>
      <c r="Z35" t="s">
        <v>196</v>
      </c>
      <c r="AA35">
        <v>95816</v>
      </c>
      <c r="AB35" t="s">
        <v>188</v>
      </c>
      <c r="AC35" t="s">
        <v>907</v>
      </c>
      <c r="AD35" t="s">
        <v>908</v>
      </c>
      <c r="AE35" t="s">
        <v>909</v>
      </c>
      <c r="AF35" t="s">
        <v>910</v>
      </c>
      <c r="AG35" t="s">
        <v>196</v>
      </c>
      <c r="AH35" t="s">
        <v>911</v>
      </c>
      <c r="AI35">
        <v>20241104</v>
      </c>
      <c r="AJ35">
        <v>20241202</v>
      </c>
      <c r="AK35" t="s">
        <v>196</v>
      </c>
      <c r="AL35">
        <v>20241211</v>
      </c>
      <c r="AM35" t="s">
        <v>912</v>
      </c>
      <c r="AN35" t="s">
        <v>196</v>
      </c>
      <c r="AO35" t="s">
        <v>196</v>
      </c>
      <c r="AP35" t="s">
        <v>196</v>
      </c>
      <c r="AQ35" t="s">
        <v>196</v>
      </c>
      <c r="AR35" t="s">
        <v>196</v>
      </c>
      <c r="AS35" t="s">
        <v>196</v>
      </c>
      <c r="AT35" t="s">
        <v>196</v>
      </c>
      <c r="AU35" t="s">
        <v>196</v>
      </c>
      <c r="AV35" t="s">
        <v>196</v>
      </c>
      <c r="AW35" t="s">
        <v>196</v>
      </c>
      <c r="AX35" t="s">
        <v>196</v>
      </c>
      <c r="AY35" t="s">
        <v>196</v>
      </c>
      <c r="AZ35" t="s">
        <v>196</v>
      </c>
      <c r="BA35" t="s">
        <v>196</v>
      </c>
      <c r="BB35" t="s">
        <v>196</v>
      </c>
      <c r="BC35" t="s">
        <v>196</v>
      </c>
      <c r="BD35" t="s">
        <v>196</v>
      </c>
      <c r="BE35" t="s">
        <v>196</v>
      </c>
      <c r="BF35" t="s">
        <v>196</v>
      </c>
      <c r="BG35" t="s">
        <v>196</v>
      </c>
      <c r="BH35" t="s">
        <v>196</v>
      </c>
      <c r="BI35" t="s">
        <v>196</v>
      </c>
      <c r="BJ35" t="s">
        <v>196</v>
      </c>
      <c r="BK35" t="s">
        <v>196</v>
      </c>
      <c r="BL35" t="s">
        <v>196</v>
      </c>
      <c r="BM35" t="s">
        <v>196</v>
      </c>
      <c r="BN35" t="s">
        <v>196</v>
      </c>
      <c r="BO35" t="s">
        <v>196</v>
      </c>
      <c r="BP35" t="s">
        <v>196</v>
      </c>
      <c r="BQ35" t="s">
        <v>196</v>
      </c>
      <c r="BR35" t="s">
        <v>196</v>
      </c>
      <c r="BS35" t="s">
        <v>196</v>
      </c>
      <c r="BT35" t="s">
        <v>196</v>
      </c>
      <c r="BU35" t="s">
        <v>196</v>
      </c>
      <c r="BV35" t="s">
        <v>196</v>
      </c>
      <c r="BW35" t="s">
        <v>196</v>
      </c>
      <c r="BX35" t="s">
        <v>196</v>
      </c>
      <c r="BY35" t="s">
        <v>196</v>
      </c>
      <c r="BZ35" t="s">
        <v>196</v>
      </c>
      <c r="CA35" t="s">
        <v>196</v>
      </c>
      <c r="CB35" t="s">
        <v>196</v>
      </c>
      <c r="CC35" t="s">
        <v>196</v>
      </c>
      <c r="CD35" t="s">
        <v>196</v>
      </c>
      <c r="CE35" t="s">
        <v>196</v>
      </c>
      <c r="CF35" t="s">
        <v>196</v>
      </c>
      <c r="CG35" t="s">
        <v>196</v>
      </c>
      <c r="CH35" t="s">
        <v>196</v>
      </c>
      <c r="CI35" t="s">
        <v>196</v>
      </c>
      <c r="CJ35" t="s">
        <v>196</v>
      </c>
      <c r="CK35" t="s">
        <v>196</v>
      </c>
      <c r="CL35" t="s">
        <v>196</v>
      </c>
      <c r="CM35" t="s">
        <v>196</v>
      </c>
      <c r="CN35" t="s">
        <v>196</v>
      </c>
      <c r="CO35" t="s">
        <v>196</v>
      </c>
      <c r="CP35" t="s">
        <v>196</v>
      </c>
      <c r="CQ35" t="s">
        <v>196</v>
      </c>
      <c r="CR35" t="s">
        <v>196</v>
      </c>
      <c r="CS35" t="s">
        <v>196</v>
      </c>
      <c r="CT35" t="s">
        <v>196</v>
      </c>
      <c r="CU35" t="s">
        <v>196</v>
      </c>
      <c r="CV35" t="s">
        <v>196</v>
      </c>
      <c r="CW35" t="s">
        <v>196</v>
      </c>
      <c r="CX35" t="s">
        <v>196</v>
      </c>
      <c r="CY35" t="s">
        <v>196</v>
      </c>
      <c r="CZ35" t="s">
        <v>196</v>
      </c>
      <c r="DA35" t="s">
        <v>196</v>
      </c>
      <c r="DB35" t="s">
        <v>196</v>
      </c>
      <c r="DC35" t="s">
        <v>196</v>
      </c>
      <c r="DD35" t="s">
        <v>196</v>
      </c>
      <c r="DE35" t="s">
        <v>196</v>
      </c>
      <c r="DF35" t="s">
        <v>196</v>
      </c>
      <c r="DG35" t="s">
        <v>196</v>
      </c>
      <c r="DH35" t="s">
        <v>196</v>
      </c>
      <c r="DI35" t="s">
        <v>196</v>
      </c>
      <c r="DJ35" t="s">
        <v>196</v>
      </c>
      <c r="DK35" t="s">
        <v>196</v>
      </c>
      <c r="DL35" t="s">
        <v>196</v>
      </c>
      <c r="DM35" t="s">
        <v>196</v>
      </c>
      <c r="DN35" t="s">
        <v>196</v>
      </c>
      <c r="DO35" t="s">
        <v>196</v>
      </c>
      <c r="DP35" t="s">
        <v>196</v>
      </c>
      <c r="DQ35" t="s">
        <v>196</v>
      </c>
      <c r="DR35" t="s">
        <v>196</v>
      </c>
      <c r="DS35" t="s">
        <v>196</v>
      </c>
      <c r="DT35" t="s">
        <v>196</v>
      </c>
      <c r="DU35" t="s">
        <v>196</v>
      </c>
      <c r="DV35" t="s">
        <v>196</v>
      </c>
      <c r="DW35" t="s">
        <v>196</v>
      </c>
      <c r="DX35" t="s">
        <v>196</v>
      </c>
      <c r="DY35" t="s">
        <v>196</v>
      </c>
      <c r="DZ35" t="s">
        <v>196</v>
      </c>
      <c r="EA35" t="s">
        <v>196</v>
      </c>
      <c r="EB35" t="s">
        <v>196</v>
      </c>
      <c r="EC35" t="s">
        <v>196</v>
      </c>
      <c r="ED35" t="s">
        <v>196</v>
      </c>
      <c r="EE35" t="s">
        <v>196</v>
      </c>
      <c r="EF35" t="s">
        <v>196</v>
      </c>
      <c r="EG35" t="s">
        <v>196</v>
      </c>
      <c r="EH35" t="s">
        <v>196</v>
      </c>
      <c r="EI35" t="s">
        <v>196</v>
      </c>
      <c r="EJ35" t="s">
        <v>196</v>
      </c>
      <c r="EK35" t="s">
        <v>196</v>
      </c>
      <c r="EL35" t="s">
        <v>196</v>
      </c>
      <c r="EM35" t="s">
        <v>196</v>
      </c>
      <c r="EN35" t="s">
        <v>196</v>
      </c>
      <c r="EO35" t="s">
        <v>196</v>
      </c>
      <c r="EP35" t="str">
        <f t="shared" si="1"/>
        <v>Active</v>
      </c>
    </row>
    <row r="36" spans="1:146">
      <c r="A36" t="s">
        <v>4</v>
      </c>
      <c r="B36" t="s">
        <v>436</v>
      </c>
      <c r="C36" t="s">
        <v>20</v>
      </c>
      <c r="D36" t="s">
        <v>172</v>
      </c>
      <c r="E36" t="s">
        <v>7</v>
      </c>
      <c r="F36" t="s">
        <v>913</v>
      </c>
      <c r="G36" t="s">
        <v>914</v>
      </c>
      <c r="H36" t="s">
        <v>914</v>
      </c>
      <c r="I36" t="s">
        <v>915</v>
      </c>
      <c r="J36" t="s">
        <v>916</v>
      </c>
      <c r="K36" t="s">
        <v>212</v>
      </c>
      <c r="L36" t="s">
        <v>213</v>
      </c>
      <c r="M36" t="s">
        <v>914</v>
      </c>
      <c r="N36" t="s">
        <v>196</v>
      </c>
      <c r="O36" t="s">
        <v>196</v>
      </c>
      <c r="P36" t="s">
        <v>917</v>
      </c>
      <c r="Q36" t="s">
        <v>918</v>
      </c>
      <c r="R36" t="s">
        <v>919</v>
      </c>
      <c r="S36" t="b">
        <v>1</v>
      </c>
      <c r="T36" t="s">
        <v>920</v>
      </c>
      <c r="U36" s="1" t="s">
        <v>196</v>
      </c>
      <c r="V36" t="s">
        <v>184</v>
      </c>
      <c r="W36">
        <v>66289</v>
      </c>
      <c r="X36" t="s">
        <v>921</v>
      </c>
      <c r="Y36" t="s">
        <v>922</v>
      </c>
      <c r="Z36" t="s">
        <v>196</v>
      </c>
      <c r="AA36" t="s">
        <v>923</v>
      </c>
      <c r="AB36" t="s">
        <v>188</v>
      </c>
      <c r="AC36" t="s">
        <v>201</v>
      </c>
      <c r="AD36" t="s">
        <v>253</v>
      </c>
      <c r="AE36" t="s">
        <v>924</v>
      </c>
      <c r="AF36" t="s">
        <v>925</v>
      </c>
      <c r="AG36" t="s">
        <v>926</v>
      </c>
      <c r="AH36" t="s">
        <v>927</v>
      </c>
      <c r="AI36">
        <v>20130403</v>
      </c>
      <c r="AJ36">
        <v>20131120</v>
      </c>
      <c r="AK36">
        <v>20140211</v>
      </c>
      <c r="AL36">
        <v>20131127</v>
      </c>
      <c r="AM36" t="s">
        <v>928</v>
      </c>
      <c r="AN36" t="s">
        <v>196</v>
      </c>
      <c r="AO36" t="s">
        <v>196</v>
      </c>
      <c r="AP36" t="s">
        <v>196</v>
      </c>
      <c r="AQ36" t="s">
        <v>196</v>
      </c>
      <c r="AR36" t="s">
        <v>196</v>
      </c>
      <c r="AS36" t="s">
        <v>196</v>
      </c>
      <c r="AT36" t="s">
        <v>196</v>
      </c>
      <c r="AU36" t="s">
        <v>196</v>
      </c>
      <c r="AV36" t="s">
        <v>196</v>
      </c>
      <c r="AW36" t="s">
        <v>196</v>
      </c>
      <c r="AX36" t="s">
        <v>196</v>
      </c>
      <c r="AY36" t="s">
        <v>196</v>
      </c>
      <c r="AZ36" t="s">
        <v>196</v>
      </c>
      <c r="BA36" t="s">
        <v>196</v>
      </c>
      <c r="BB36" t="s">
        <v>196</v>
      </c>
      <c r="BC36" t="s">
        <v>196</v>
      </c>
      <c r="BD36" s="1" t="s">
        <v>196</v>
      </c>
      <c r="BE36" s="1" t="s">
        <v>196</v>
      </c>
      <c r="BF36" t="s">
        <v>196</v>
      </c>
      <c r="BG36" t="s">
        <v>196</v>
      </c>
      <c r="BH36" t="s">
        <v>196</v>
      </c>
      <c r="BI36" t="s">
        <v>196</v>
      </c>
      <c r="BJ36" t="s">
        <v>196</v>
      </c>
      <c r="BK36" t="s">
        <v>196</v>
      </c>
      <c r="BL36" t="s">
        <v>196</v>
      </c>
      <c r="BM36" t="s">
        <v>196</v>
      </c>
      <c r="BN36" t="s">
        <v>196</v>
      </c>
      <c r="BO36" t="s">
        <v>196</v>
      </c>
      <c r="BP36" t="s">
        <v>196</v>
      </c>
      <c r="BQ36" t="s">
        <v>929</v>
      </c>
      <c r="BR36" t="s">
        <v>930</v>
      </c>
      <c r="BS36" t="s">
        <v>196</v>
      </c>
      <c r="BT36" t="s">
        <v>931</v>
      </c>
      <c r="BU36" t="s">
        <v>196</v>
      </c>
      <c r="BV36" t="s">
        <v>196</v>
      </c>
      <c r="BW36" t="s">
        <v>196</v>
      </c>
      <c r="BX36" t="s">
        <v>196</v>
      </c>
      <c r="BY36" t="s">
        <v>196</v>
      </c>
      <c r="BZ36" t="s">
        <v>196</v>
      </c>
      <c r="CA36" t="s">
        <v>196</v>
      </c>
      <c r="CB36" t="s">
        <v>196</v>
      </c>
      <c r="CC36" t="s">
        <v>196</v>
      </c>
      <c r="CD36" t="s">
        <v>196</v>
      </c>
      <c r="CE36" t="s">
        <v>196</v>
      </c>
      <c r="CF36" t="s">
        <v>196</v>
      </c>
      <c r="CG36" t="s">
        <v>196</v>
      </c>
      <c r="CH36" t="s">
        <v>196</v>
      </c>
      <c r="CI36" t="s">
        <v>196</v>
      </c>
      <c r="CJ36" t="s">
        <v>196</v>
      </c>
      <c r="CK36" t="s">
        <v>196</v>
      </c>
      <c r="CL36" t="s">
        <v>196</v>
      </c>
      <c r="CM36" t="s">
        <v>196</v>
      </c>
      <c r="CN36" t="s">
        <v>196</v>
      </c>
      <c r="CO36" s="1" t="s">
        <v>196</v>
      </c>
      <c r="CP36" s="1" t="s">
        <v>196</v>
      </c>
      <c r="CQ36" t="s">
        <v>196</v>
      </c>
      <c r="CR36" t="s">
        <v>196</v>
      </c>
      <c r="CS36" t="s">
        <v>196</v>
      </c>
      <c r="CT36" t="s">
        <v>196</v>
      </c>
      <c r="CU36" t="s">
        <v>196</v>
      </c>
      <c r="CV36" t="s">
        <v>196</v>
      </c>
      <c r="CW36" t="s">
        <v>196</v>
      </c>
      <c r="CX36" t="s">
        <v>196</v>
      </c>
      <c r="CY36" t="s">
        <v>196</v>
      </c>
      <c r="CZ36" t="s">
        <v>196</v>
      </c>
      <c r="DA36" t="s">
        <v>932</v>
      </c>
      <c r="DB36" t="s">
        <v>196</v>
      </c>
      <c r="DC36" t="s">
        <v>196</v>
      </c>
      <c r="DD36" t="s">
        <v>196</v>
      </c>
      <c r="DE36" t="s">
        <v>196</v>
      </c>
      <c r="DF36" t="s">
        <v>196</v>
      </c>
      <c r="DG36" t="s">
        <v>196</v>
      </c>
      <c r="DH36" t="s">
        <v>196</v>
      </c>
      <c r="DI36" t="s">
        <v>196</v>
      </c>
      <c r="DJ36" t="s">
        <v>196</v>
      </c>
      <c r="DK36" t="s">
        <v>196</v>
      </c>
      <c r="DL36" t="s">
        <v>196</v>
      </c>
      <c r="DM36" t="s">
        <v>196</v>
      </c>
      <c r="DN36" t="s">
        <v>196</v>
      </c>
      <c r="DO36" t="s">
        <v>196</v>
      </c>
      <c r="DP36" t="s">
        <v>196</v>
      </c>
      <c r="DQ36" t="s">
        <v>196</v>
      </c>
      <c r="DR36" t="s">
        <v>196</v>
      </c>
      <c r="DS36" t="s">
        <v>196</v>
      </c>
      <c r="DT36" t="s">
        <v>196</v>
      </c>
      <c r="DU36" t="s">
        <v>196</v>
      </c>
      <c r="DV36" t="s">
        <v>196</v>
      </c>
      <c r="DW36" t="s">
        <v>196</v>
      </c>
      <c r="DX36" t="s">
        <v>196</v>
      </c>
      <c r="DY36" t="s">
        <v>196</v>
      </c>
      <c r="DZ36" t="s">
        <v>196</v>
      </c>
      <c r="EA36" t="s">
        <v>196</v>
      </c>
      <c r="EB36" t="s">
        <v>196</v>
      </c>
      <c r="EC36" t="s">
        <v>196</v>
      </c>
      <c r="ED36" t="s">
        <v>196</v>
      </c>
      <c r="EE36" t="s">
        <v>196</v>
      </c>
      <c r="EF36" t="s">
        <v>196</v>
      </c>
      <c r="EG36" t="s">
        <v>196</v>
      </c>
      <c r="EH36" t="s">
        <v>196</v>
      </c>
      <c r="EI36" t="s">
        <v>196</v>
      </c>
      <c r="EJ36" t="s">
        <v>196</v>
      </c>
      <c r="EK36" t="s">
        <v>196</v>
      </c>
      <c r="EL36" t="s">
        <v>196</v>
      </c>
      <c r="EM36" t="s">
        <v>196</v>
      </c>
      <c r="EN36" t="s">
        <v>196</v>
      </c>
      <c r="EO36" t="s">
        <v>196</v>
      </c>
      <c r="EP36" t="str">
        <f t="shared" si="1"/>
        <v>Inactive</v>
      </c>
    </row>
    <row r="37" spans="1:146">
      <c r="A37" t="s">
        <v>4</v>
      </c>
      <c r="B37" t="s">
        <v>933</v>
      </c>
      <c r="C37" t="s">
        <v>10</v>
      </c>
      <c r="D37" t="s">
        <v>172</v>
      </c>
      <c r="E37" t="s">
        <v>7</v>
      </c>
      <c r="F37" t="s">
        <v>934</v>
      </c>
      <c r="G37" t="s">
        <v>935</v>
      </c>
      <c r="H37" t="s">
        <v>935</v>
      </c>
      <c r="I37" t="s">
        <v>936</v>
      </c>
      <c r="J37" t="s">
        <v>937</v>
      </c>
      <c r="K37" t="s">
        <v>212</v>
      </c>
      <c r="L37" t="s">
        <v>213</v>
      </c>
      <c r="M37" t="s">
        <v>938</v>
      </c>
      <c r="N37">
        <v>476345</v>
      </c>
      <c r="O37">
        <v>476349</v>
      </c>
      <c r="P37" t="s">
        <v>939</v>
      </c>
      <c r="Q37" t="s">
        <v>940</v>
      </c>
      <c r="R37" t="s">
        <v>941</v>
      </c>
      <c r="S37" t="s">
        <v>196</v>
      </c>
      <c r="T37" t="s">
        <v>942</v>
      </c>
      <c r="U37" t="s">
        <v>196</v>
      </c>
      <c r="V37" t="s">
        <v>184</v>
      </c>
      <c r="W37">
        <v>88866</v>
      </c>
      <c r="X37" t="s">
        <v>943</v>
      </c>
      <c r="Y37" t="s">
        <v>944</v>
      </c>
      <c r="Z37" t="s">
        <v>16</v>
      </c>
      <c r="AA37" t="s">
        <v>945</v>
      </c>
      <c r="AB37" t="s">
        <v>188</v>
      </c>
      <c r="AC37" t="s">
        <v>201</v>
      </c>
      <c r="AD37" t="s">
        <v>946</v>
      </c>
      <c r="AE37" t="s">
        <v>947</v>
      </c>
      <c r="AF37" t="s">
        <v>948</v>
      </c>
      <c r="AG37">
        <v>49</v>
      </c>
      <c r="AH37" t="s">
        <v>949</v>
      </c>
      <c r="AI37">
        <v>20211014</v>
      </c>
      <c r="AJ37">
        <v>20211109</v>
      </c>
      <c r="AK37">
        <v>20221110</v>
      </c>
      <c r="AL37">
        <v>20211117</v>
      </c>
      <c r="AM37" t="s">
        <v>950</v>
      </c>
      <c r="AN37" t="s">
        <v>196</v>
      </c>
      <c r="AO37" t="s">
        <v>951</v>
      </c>
      <c r="AP37" t="s">
        <v>952</v>
      </c>
      <c r="AQ37">
        <v>476350</v>
      </c>
      <c r="AR37" t="s">
        <v>953</v>
      </c>
      <c r="AS37" t="s">
        <v>954</v>
      </c>
      <c r="AT37" t="s">
        <v>955</v>
      </c>
      <c r="AU37" t="s">
        <v>956</v>
      </c>
      <c r="AV37" t="s">
        <v>957</v>
      </c>
      <c r="AW37" t="s">
        <v>958</v>
      </c>
      <c r="AX37" t="s">
        <v>959</v>
      </c>
      <c r="AY37" t="s">
        <v>960</v>
      </c>
      <c r="AZ37" t="s">
        <v>961</v>
      </c>
      <c r="BA37" t="s">
        <v>962</v>
      </c>
      <c r="BB37" t="s">
        <v>963</v>
      </c>
      <c r="BC37" t="s">
        <v>196</v>
      </c>
      <c r="BD37" t="s">
        <v>196</v>
      </c>
      <c r="BE37" t="s">
        <v>196</v>
      </c>
      <c r="BF37" t="s">
        <v>964</v>
      </c>
      <c r="BG37" t="s">
        <v>196</v>
      </c>
      <c r="BH37" t="s">
        <v>965</v>
      </c>
      <c r="BI37" t="s">
        <v>196</v>
      </c>
      <c r="BJ37" t="s">
        <v>196</v>
      </c>
      <c r="BK37" t="s">
        <v>196</v>
      </c>
      <c r="BL37" t="s">
        <v>196</v>
      </c>
      <c r="BM37" t="s">
        <v>196</v>
      </c>
      <c r="BN37" t="s">
        <v>196</v>
      </c>
      <c r="BO37" t="s">
        <v>196</v>
      </c>
      <c r="BP37">
        <v>476351</v>
      </c>
      <c r="BQ37" t="s">
        <v>966</v>
      </c>
      <c r="BR37" t="s">
        <v>967</v>
      </c>
      <c r="BS37" t="s">
        <v>196</v>
      </c>
      <c r="BT37" t="s">
        <v>968</v>
      </c>
      <c r="BU37" t="s">
        <v>196</v>
      </c>
      <c r="BV37" t="s">
        <v>196</v>
      </c>
      <c r="BW37" t="s">
        <v>196</v>
      </c>
      <c r="BX37" t="s">
        <v>196</v>
      </c>
      <c r="BY37" t="s">
        <v>196</v>
      </c>
      <c r="BZ37" t="s">
        <v>196</v>
      </c>
      <c r="CA37" t="s">
        <v>196</v>
      </c>
      <c r="CB37" t="s">
        <v>196</v>
      </c>
      <c r="CC37" t="s">
        <v>196</v>
      </c>
      <c r="CD37" t="s">
        <v>196</v>
      </c>
      <c r="CE37" t="s">
        <v>196</v>
      </c>
      <c r="CF37" t="s">
        <v>196</v>
      </c>
      <c r="CG37" t="s">
        <v>196</v>
      </c>
      <c r="CH37" t="s">
        <v>196</v>
      </c>
      <c r="CI37" t="s">
        <v>196</v>
      </c>
      <c r="CJ37" t="s">
        <v>196</v>
      </c>
      <c r="CK37" t="s">
        <v>196</v>
      </c>
      <c r="CL37" t="s">
        <v>196</v>
      </c>
      <c r="CM37" t="s">
        <v>196</v>
      </c>
      <c r="CN37" t="s">
        <v>196</v>
      </c>
      <c r="CO37" t="s">
        <v>196</v>
      </c>
      <c r="CP37" t="s">
        <v>196</v>
      </c>
      <c r="CQ37" t="s">
        <v>196</v>
      </c>
      <c r="CR37" t="s">
        <v>196</v>
      </c>
      <c r="CS37" t="s">
        <v>196</v>
      </c>
      <c r="CT37" t="s">
        <v>196</v>
      </c>
      <c r="CU37" t="s">
        <v>196</v>
      </c>
      <c r="CV37" t="s">
        <v>196</v>
      </c>
      <c r="CW37" t="s">
        <v>969</v>
      </c>
      <c r="CX37" t="s">
        <v>196</v>
      </c>
      <c r="CY37" t="s">
        <v>970</v>
      </c>
      <c r="CZ37" t="s">
        <v>971</v>
      </c>
      <c r="DA37" t="s">
        <v>972</v>
      </c>
      <c r="DB37" t="s">
        <v>196</v>
      </c>
      <c r="DC37" t="s">
        <v>973</v>
      </c>
      <c r="DD37" t="s">
        <v>196</v>
      </c>
      <c r="DE37" t="s">
        <v>974</v>
      </c>
      <c r="DF37" t="s">
        <v>975</v>
      </c>
      <c r="DG37" t="s">
        <v>976</v>
      </c>
      <c r="DH37" t="s">
        <v>196</v>
      </c>
      <c r="DI37" t="s">
        <v>196</v>
      </c>
      <c r="DJ37" t="s">
        <v>196</v>
      </c>
      <c r="DK37" t="s">
        <v>196</v>
      </c>
      <c r="DL37" t="s">
        <v>196</v>
      </c>
      <c r="DM37" t="s">
        <v>196</v>
      </c>
      <c r="DN37" t="s">
        <v>196</v>
      </c>
      <c r="DO37" t="s">
        <v>196</v>
      </c>
      <c r="DP37" t="s">
        <v>196</v>
      </c>
      <c r="DQ37" t="s">
        <v>196</v>
      </c>
      <c r="DR37" t="s">
        <v>196</v>
      </c>
      <c r="DS37" t="s">
        <v>196</v>
      </c>
      <c r="DT37" t="s">
        <v>196</v>
      </c>
      <c r="DU37" t="s">
        <v>196</v>
      </c>
      <c r="DV37" t="s">
        <v>196</v>
      </c>
      <c r="DW37" t="s">
        <v>196</v>
      </c>
      <c r="DX37" t="s">
        <v>196</v>
      </c>
      <c r="DY37" t="s">
        <v>196</v>
      </c>
      <c r="DZ37" t="s">
        <v>196</v>
      </c>
      <c r="EA37" t="s">
        <v>196</v>
      </c>
      <c r="EB37" t="s">
        <v>977</v>
      </c>
      <c r="EC37" t="s">
        <v>196</v>
      </c>
      <c r="ED37" t="s">
        <v>196</v>
      </c>
      <c r="EE37" t="s">
        <v>196</v>
      </c>
      <c r="EF37" t="s">
        <v>978</v>
      </c>
      <c r="EG37" t="s">
        <v>979</v>
      </c>
      <c r="EH37" t="s">
        <v>196</v>
      </c>
      <c r="EI37" t="s">
        <v>196</v>
      </c>
      <c r="EJ37" t="s">
        <v>196</v>
      </c>
      <c r="EK37" t="s">
        <v>196</v>
      </c>
      <c r="EL37" t="s">
        <v>196</v>
      </c>
      <c r="EM37" t="s">
        <v>196</v>
      </c>
      <c r="EN37" t="s">
        <v>196</v>
      </c>
      <c r="EO37" t="s">
        <v>196</v>
      </c>
      <c r="EP37" t="str">
        <f t="shared" si="1"/>
        <v>Inactive</v>
      </c>
    </row>
    <row r="38" spans="1:146">
      <c r="A38" t="s">
        <v>4</v>
      </c>
      <c r="B38" t="s">
        <v>241</v>
      </c>
      <c r="C38" t="s">
        <v>12</v>
      </c>
      <c r="D38" t="s">
        <v>172</v>
      </c>
      <c r="E38" t="s">
        <v>7</v>
      </c>
      <c r="F38" t="s">
        <v>980</v>
      </c>
      <c r="G38" t="s">
        <v>981</v>
      </c>
      <c r="H38" t="s">
        <v>981</v>
      </c>
      <c r="I38" t="s">
        <v>244</v>
      </c>
      <c r="J38" t="s">
        <v>982</v>
      </c>
      <c r="K38" t="s">
        <v>212</v>
      </c>
      <c r="L38" t="s">
        <v>262</v>
      </c>
      <c r="M38" t="s">
        <v>981</v>
      </c>
      <c r="N38">
        <v>896771</v>
      </c>
      <c r="O38" t="s">
        <v>196</v>
      </c>
      <c r="P38" t="s">
        <v>983</v>
      </c>
      <c r="Q38" t="s">
        <v>984</v>
      </c>
      <c r="R38" t="s">
        <v>985</v>
      </c>
      <c r="S38" t="b">
        <v>1</v>
      </c>
      <c r="T38" t="s">
        <v>986</v>
      </c>
      <c r="U38" s="1" t="s">
        <v>196</v>
      </c>
      <c r="V38" t="s">
        <v>184</v>
      </c>
      <c r="W38">
        <v>68296</v>
      </c>
      <c r="X38" t="s">
        <v>541</v>
      </c>
      <c r="Y38" t="s">
        <v>542</v>
      </c>
      <c r="Z38" t="s">
        <v>196</v>
      </c>
      <c r="AA38" t="s">
        <v>543</v>
      </c>
      <c r="AB38" t="s">
        <v>188</v>
      </c>
      <c r="AC38" t="s">
        <v>189</v>
      </c>
      <c r="AD38" t="s">
        <v>253</v>
      </c>
      <c r="AE38" t="s">
        <v>987</v>
      </c>
      <c r="AF38" t="s">
        <v>988</v>
      </c>
      <c r="AG38" t="s">
        <v>989</v>
      </c>
      <c r="AH38" t="s">
        <v>990</v>
      </c>
      <c r="AI38">
        <v>20140516</v>
      </c>
      <c r="AJ38">
        <v>20140708</v>
      </c>
      <c r="AK38">
        <v>20170316</v>
      </c>
      <c r="AL38">
        <v>20140716</v>
      </c>
      <c r="AM38" t="s">
        <v>991</v>
      </c>
      <c r="AN38" t="s">
        <v>196</v>
      </c>
      <c r="AO38" t="s">
        <v>992</v>
      </c>
      <c r="AP38" t="s">
        <v>196</v>
      </c>
      <c r="AQ38" t="s">
        <v>196</v>
      </c>
      <c r="AR38" t="s">
        <v>993</v>
      </c>
      <c r="AS38" t="s">
        <v>994</v>
      </c>
      <c r="AT38" t="s">
        <v>995</v>
      </c>
      <c r="AU38" t="s">
        <v>196</v>
      </c>
      <c r="AV38" t="s">
        <v>196</v>
      </c>
      <c r="AW38" t="s">
        <v>196</v>
      </c>
      <c r="AX38" t="s">
        <v>196</v>
      </c>
      <c r="AY38" t="s">
        <v>196</v>
      </c>
      <c r="AZ38" t="s">
        <v>196</v>
      </c>
      <c r="BA38" t="s">
        <v>196</v>
      </c>
      <c r="BB38" t="s">
        <v>196</v>
      </c>
      <c r="BC38" t="s">
        <v>196</v>
      </c>
      <c r="BD38" s="1" t="s">
        <v>196</v>
      </c>
      <c r="BE38" s="1" t="s">
        <v>196</v>
      </c>
      <c r="BF38" t="s">
        <v>196</v>
      </c>
      <c r="BG38" t="s">
        <v>196</v>
      </c>
      <c r="BH38" t="s">
        <v>196</v>
      </c>
      <c r="BI38" t="s">
        <v>196</v>
      </c>
      <c r="BJ38" t="s">
        <v>196</v>
      </c>
      <c r="BK38" t="s">
        <v>196</v>
      </c>
      <c r="BL38" t="s">
        <v>196</v>
      </c>
      <c r="BM38" t="s">
        <v>196</v>
      </c>
      <c r="BN38" t="s">
        <v>196</v>
      </c>
      <c r="BO38" t="s">
        <v>196</v>
      </c>
      <c r="BP38" t="s">
        <v>196</v>
      </c>
      <c r="BQ38" t="s">
        <v>196</v>
      </c>
      <c r="BR38" t="s">
        <v>196</v>
      </c>
      <c r="BS38" t="s">
        <v>196</v>
      </c>
      <c r="BT38" t="s">
        <v>196</v>
      </c>
      <c r="BU38" t="s">
        <v>196</v>
      </c>
      <c r="BV38" t="s">
        <v>196</v>
      </c>
      <c r="BW38" t="s">
        <v>196</v>
      </c>
      <c r="BX38" t="s">
        <v>196</v>
      </c>
      <c r="BY38" t="s">
        <v>196</v>
      </c>
      <c r="BZ38" t="s">
        <v>196</v>
      </c>
      <c r="CA38" t="s">
        <v>196</v>
      </c>
      <c r="CB38" t="s">
        <v>196</v>
      </c>
      <c r="CC38" t="s">
        <v>196</v>
      </c>
      <c r="CD38" t="s">
        <v>196</v>
      </c>
      <c r="CE38" t="s">
        <v>196</v>
      </c>
      <c r="CF38" t="s">
        <v>196</v>
      </c>
      <c r="CG38" t="s">
        <v>196</v>
      </c>
      <c r="CH38" t="s">
        <v>196</v>
      </c>
      <c r="CI38" t="s">
        <v>196</v>
      </c>
      <c r="CJ38" t="s">
        <v>196</v>
      </c>
      <c r="CK38" t="s">
        <v>196</v>
      </c>
      <c r="CL38" t="s">
        <v>196</v>
      </c>
      <c r="CM38" t="s">
        <v>196</v>
      </c>
      <c r="CN38" t="s">
        <v>196</v>
      </c>
      <c r="CO38" s="1" t="s">
        <v>196</v>
      </c>
      <c r="CP38" s="1" t="s">
        <v>196</v>
      </c>
      <c r="CQ38" t="s">
        <v>196</v>
      </c>
      <c r="CR38" t="s">
        <v>196</v>
      </c>
      <c r="CS38" t="s">
        <v>196</v>
      </c>
      <c r="CT38" t="s">
        <v>196</v>
      </c>
      <c r="CU38" t="s">
        <v>196</v>
      </c>
      <c r="CV38" t="s">
        <v>196</v>
      </c>
      <c r="CW38" t="s">
        <v>196</v>
      </c>
      <c r="CX38" t="s">
        <v>196</v>
      </c>
      <c r="CY38" t="s">
        <v>196</v>
      </c>
      <c r="CZ38" t="s">
        <v>196</v>
      </c>
      <c r="DA38" t="s">
        <v>196</v>
      </c>
      <c r="DB38" t="s">
        <v>196</v>
      </c>
      <c r="DC38" t="s">
        <v>196</v>
      </c>
      <c r="DD38" t="s">
        <v>196</v>
      </c>
      <c r="DE38" t="s">
        <v>196</v>
      </c>
      <c r="DF38" t="s">
        <v>196</v>
      </c>
      <c r="DG38" t="s">
        <v>196</v>
      </c>
      <c r="DH38" t="s">
        <v>196</v>
      </c>
      <c r="DI38" t="s">
        <v>196</v>
      </c>
      <c r="DJ38" t="s">
        <v>196</v>
      </c>
      <c r="DK38" t="s">
        <v>196</v>
      </c>
      <c r="DL38" t="s">
        <v>196</v>
      </c>
      <c r="DM38" t="s">
        <v>196</v>
      </c>
      <c r="DN38" t="s">
        <v>196</v>
      </c>
      <c r="DO38" t="s">
        <v>196</v>
      </c>
      <c r="DP38" t="s">
        <v>196</v>
      </c>
      <c r="DQ38" t="s">
        <v>196</v>
      </c>
      <c r="DR38" t="s">
        <v>196</v>
      </c>
      <c r="DS38" t="s">
        <v>196</v>
      </c>
      <c r="DT38" t="s">
        <v>196</v>
      </c>
      <c r="DU38" t="s">
        <v>196</v>
      </c>
      <c r="DV38" t="s">
        <v>196</v>
      </c>
      <c r="DW38" t="s">
        <v>196</v>
      </c>
      <c r="DX38" t="s">
        <v>196</v>
      </c>
      <c r="DY38" t="s">
        <v>196</v>
      </c>
      <c r="DZ38" t="s">
        <v>196</v>
      </c>
      <c r="EA38" t="s">
        <v>196</v>
      </c>
      <c r="EB38" t="s">
        <v>196</v>
      </c>
      <c r="EC38" t="s">
        <v>196</v>
      </c>
      <c r="ED38" t="s">
        <v>196</v>
      </c>
      <c r="EE38" t="s">
        <v>196</v>
      </c>
      <c r="EF38" t="s">
        <v>196</v>
      </c>
      <c r="EG38" t="s">
        <v>196</v>
      </c>
      <c r="EH38" t="s">
        <v>196</v>
      </c>
      <c r="EI38" t="s">
        <v>196</v>
      </c>
      <c r="EJ38" t="s">
        <v>196</v>
      </c>
      <c r="EK38" t="s">
        <v>196</v>
      </c>
      <c r="EL38" t="s">
        <v>196</v>
      </c>
      <c r="EM38" t="s">
        <v>196</v>
      </c>
      <c r="EN38" t="s">
        <v>196</v>
      </c>
      <c r="EO38" t="s">
        <v>196</v>
      </c>
      <c r="EP38" t="str">
        <f t="shared" si="1"/>
        <v>Inactive</v>
      </c>
    </row>
    <row r="39" spans="1:146">
      <c r="A39" t="s">
        <v>3</v>
      </c>
      <c r="B39" t="s">
        <v>996</v>
      </c>
      <c r="C39" t="s">
        <v>11</v>
      </c>
      <c r="D39" t="s">
        <v>172</v>
      </c>
      <c r="E39" t="s">
        <v>7</v>
      </c>
      <c r="F39" t="s">
        <v>997</v>
      </c>
      <c r="G39" t="s">
        <v>998</v>
      </c>
      <c r="H39" t="s">
        <v>999</v>
      </c>
      <c r="I39" t="s">
        <v>1000</v>
      </c>
      <c r="J39" t="s">
        <v>1001</v>
      </c>
      <c r="K39" t="s">
        <v>212</v>
      </c>
      <c r="L39" t="s">
        <v>1002</v>
      </c>
      <c r="M39" t="s">
        <v>1003</v>
      </c>
      <c r="N39">
        <v>1251493</v>
      </c>
      <c r="O39">
        <v>1251495</v>
      </c>
      <c r="P39" t="s">
        <v>1004</v>
      </c>
      <c r="Q39" t="s">
        <v>1005</v>
      </c>
      <c r="R39" t="s">
        <v>1006</v>
      </c>
      <c r="S39" t="b">
        <v>1</v>
      </c>
      <c r="T39" t="s">
        <v>1007</v>
      </c>
      <c r="U39" t="s">
        <v>196</v>
      </c>
      <c r="V39" t="s">
        <v>184</v>
      </c>
      <c r="W39">
        <v>88342</v>
      </c>
      <c r="X39" t="s">
        <v>1008</v>
      </c>
      <c r="Y39" t="s">
        <v>1009</v>
      </c>
      <c r="Z39" t="s">
        <v>16</v>
      </c>
      <c r="AA39" t="s">
        <v>1010</v>
      </c>
      <c r="AB39" t="s">
        <v>188</v>
      </c>
      <c r="AC39" t="s">
        <v>201</v>
      </c>
      <c r="AD39" t="s">
        <v>781</v>
      </c>
      <c r="AE39" t="s">
        <v>1011</v>
      </c>
      <c r="AF39" t="s">
        <v>1012</v>
      </c>
      <c r="AG39" t="s">
        <v>1013</v>
      </c>
      <c r="AH39" t="s">
        <v>1014</v>
      </c>
      <c r="AI39">
        <v>20210730</v>
      </c>
      <c r="AJ39">
        <v>20210813</v>
      </c>
      <c r="AK39" t="s">
        <v>196</v>
      </c>
      <c r="AL39">
        <v>20210825</v>
      </c>
      <c r="AM39" t="s">
        <v>1015</v>
      </c>
      <c r="AN39" t="s">
        <v>196</v>
      </c>
      <c r="AO39" t="s">
        <v>1016</v>
      </c>
      <c r="AP39" t="s">
        <v>196</v>
      </c>
      <c r="AQ39">
        <v>1251499</v>
      </c>
      <c r="AR39" t="s">
        <v>1017</v>
      </c>
      <c r="AS39" t="s">
        <v>1018</v>
      </c>
      <c r="AT39" t="s">
        <v>196</v>
      </c>
      <c r="AU39" t="s">
        <v>196</v>
      </c>
      <c r="AV39" t="s">
        <v>196</v>
      </c>
      <c r="AW39" t="s">
        <v>196</v>
      </c>
      <c r="AX39" t="s">
        <v>196</v>
      </c>
      <c r="AY39" t="s">
        <v>196</v>
      </c>
      <c r="AZ39" t="s">
        <v>196</v>
      </c>
      <c r="BA39" t="s">
        <v>196</v>
      </c>
      <c r="BB39" t="s">
        <v>196</v>
      </c>
      <c r="BC39" t="s">
        <v>196</v>
      </c>
      <c r="BD39" t="s">
        <v>196</v>
      </c>
      <c r="BE39" t="s">
        <v>196</v>
      </c>
      <c r="BF39" t="s">
        <v>196</v>
      </c>
      <c r="BG39" t="s">
        <v>196</v>
      </c>
      <c r="BH39" t="s">
        <v>196</v>
      </c>
      <c r="BI39" t="s">
        <v>196</v>
      </c>
      <c r="BJ39" t="s">
        <v>196</v>
      </c>
      <c r="BK39" t="s">
        <v>196</v>
      </c>
      <c r="BL39" t="s">
        <v>196</v>
      </c>
      <c r="BM39" t="s">
        <v>196</v>
      </c>
      <c r="BN39" t="s">
        <v>196</v>
      </c>
      <c r="BO39" t="s">
        <v>196</v>
      </c>
      <c r="BP39">
        <v>1251501</v>
      </c>
      <c r="BQ39" t="s">
        <v>1019</v>
      </c>
      <c r="BR39" t="s">
        <v>1020</v>
      </c>
      <c r="BS39" t="s">
        <v>1021</v>
      </c>
      <c r="BT39" t="s">
        <v>1022</v>
      </c>
      <c r="BU39" t="s">
        <v>196</v>
      </c>
      <c r="BV39" t="s">
        <v>196</v>
      </c>
      <c r="BW39" t="s">
        <v>196</v>
      </c>
      <c r="BX39" t="s">
        <v>196</v>
      </c>
      <c r="BY39" t="s">
        <v>196</v>
      </c>
      <c r="BZ39" t="s">
        <v>196</v>
      </c>
      <c r="CA39" t="s">
        <v>196</v>
      </c>
      <c r="CB39" t="s">
        <v>196</v>
      </c>
      <c r="CC39" t="s">
        <v>196</v>
      </c>
      <c r="CD39" t="s">
        <v>196</v>
      </c>
      <c r="CE39" t="s">
        <v>196</v>
      </c>
      <c r="CF39" t="s">
        <v>196</v>
      </c>
      <c r="CG39" t="s">
        <v>196</v>
      </c>
      <c r="CH39" t="s">
        <v>196</v>
      </c>
      <c r="CI39" t="s">
        <v>196</v>
      </c>
      <c r="CJ39" t="s">
        <v>196</v>
      </c>
      <c r="CK39" t="s">
        <v>196</v>
      </c>
      <c r="CL39" t="s">
        <v>196</v>
      </c>
      <c r="CM39" t="s">
        <v>196</v>
      </c>
      <c r="CN39" t="s">
        <v>196</v>
      </c>
      <c r="CO39" t="s">
        <v>196</v>
      </c>
      <c r="CP39" t="s">
        <v>196</v>
      </c>
      <c r="CQ39" t="s">
        <v>196</v>
      </c>
      <c r="CR39" t="s">
        <v>196</v>
      </c>
      <c r="CS39" t="s">
        <v>196</v>
      </c>
      <c r="CT39" t="s">
        <v>196</v>
      </c>
      <c r="CU39" t="s">
        <v>196</v>
      </c>
      <c r="CV39" t="s">
        <v>196</v>
      </c>
      <c r="CW39" t="s">
        <v>1023</v>
      </c>
      <c r="CX39" t="s">
        <v>196</v>
      </c>
      <c r="CY39" t="s">
        <v>1024</v>
      </c>
      <c r="CZ39" t="s">
        <v>196</v>
      </c>
      <c r="DA39" t="s">
        <v>196</v>
      </c>
      <c r="DB39" t="s">
        <v>196</v>
      </c>
      <c r="DC39" t="s">
        <v>1025</v>
      </c>
      <c r="DD39" t="s">
        <v>196</v>
      </c>
      <c r="DE39" t="s">
        <v>196</v>
      </c>
      <c r="DF39" t="s">
        <v>196</v>
      </c>
      <c r="DG39" t="s">
        <v>196</v>
      </c>
      <c r="DH39" t="s">
        <v>196</v>
      </c>
      <c r="DI39" t="s">
        <v>196</v>
      </c>
      <c r="DJ39" t="s">
        <v>196</v>
      </c>
      <c r="DK39" t="s">
        <v>196</v>
      </c>
      <c r="DL39" t="s">
        <v>196</v>
      </c>
      <c r="DM39" t="s">
        <v>196</v>
      </c>
      <c r="DN39" t="s">
        <v>196</v>
      </c>
      <c r="DO39" t="s">
        <v>196</v>
      </c>
      <c r="DP39" t="s">
        <v>196</v>
      </c>
      <c r="DQ39" t="s">
        <v>196</v>
      </c>
      <c r="DR39" t="s">
        <v>196</v>
      </c>
      <c r="DS39" t="s">
        <v>196</v>
      </c>
      <c r="DT39" t="s">
        <v>196</v>
      </c>
      <c r="DU39" t="s">
        <v>196</v>
      </c>
      <c r="DV39" t="s">
        <v>196</v>
      </c>
      <c r="DW39" t="s">
        <v>196</v>
      </c>
      <c r="DX39" t="s">
        <v>196</v>
      </c>
      <c r="DY39" t="s">
        <v>196</v>
      </c>
      <c r="DZ39" t="s">
        <v>196</v>
      </c>
      <c r="EA39" t="s">
        <v>196</v>
      </c>
      <c r="EB39" t="s">
        <v>1026</v>
      </c>
      <c r="EC39" t="s">
        <v>196</v>
      </c>
      <c r="ED39" t="s">
        <v>196</v>
      </c>
      <c r="EE39" t="s">
        <v>196</v>
      </c>
      <c r="EF39" t="s">
        <v>196</v>
      </c>
      <c r="EG39" t="s">
        <v>196</v>
      </c>
      <c r="EH39" t="s">
        <v>196</v>
      </c>
      <c r="EI39" t="s">
        <v>196</v>
      </c>
      <c r="EJ39" t="s">
        <v>196</v>
      </c>
      <c r="EK39" t="s">
        <v>196</v>
      </c>
      <c r="EL39" t="s">
        <v>196</v>
      </c>
      <c r="EM39" t="s">
        <v>196</v>
      </c>
      <c r="EN39" t="s">
        <v>196</v>
      </c>
      <c r="EO39" t="s">
        <v>196</v>
      </c>
      <c r="EP39" t="str">
        <f t="shared" si="1"/>
        <v>Active</v>
      </c>
    </row>
    <row r="40" spans="1:146">
      <c r="A40" t="s">
        <v>3</v>
      </c>
      <c r="B40" t="s">
        <v>197</v>
      </c>
      <c r="C40" t="s">
        <v>21</v>
      </c>
      <c r="D40" t="s">
        <v>172</v>
      </c>
      <c r="E40" t="s">
        <v>7</v>
      </c>
      <c r="F40" t="s">
        <v>196</v>
      </c>
      <c r="G40" t="s">
        <v>196</v>
      </c>
      <c r="H40" t="s">
        <v>196</v>
      </c>
      <c r="I40" t="s">
        <v>196</v>
      </c>
      <c r="J40" t="s">
        <v>196</v>
      </c>
      <c r="K40" t="s">
        <v>196</v>
      </c>
      <c r="L40" t="s">
        <v>196</v>
      </c>
      <c r="M40" t="s">
        <v>196</v>
      </c>
      <c r="N40" t="s">
        <v>196</v>
      </c>
      <c r="O40" t="s">
        <v>196</v>
      </c>
      <c r="P40" t="s">
        <v>196</v>
      </c>
      <c r="Q40" t="s">
        <v>196</v>
      </c>
      <c r="R40" t="s">
        <v>196</v>
      </c>
      <c r="S40" t="s">
        <v>196</v>
      </c>
      <c r="T40" t="s">
        <v>196</v>
      </c>
      <c r="U40" s="1" t="s">
        <v>196</v>
      </c>
      <c r="V40" t="s">
        <v>184</v>
      </c>
      <c r="W40">
        <v>95826</v>
      </c>
      <c r="X40" t="s">
        <v>198</v>
      </c>
      <c r="Y40" t="s">
        <v>199</v>
      </c>
      <c r="Z40" t="s">
        <v>196</v>
      </c>
      <c r="AA40" t="s">
        <v>200</v>
      </c>
      <c r="AB40" t="s">
        <v>188</v>
      </c>
      <c r="AC40" t="s">
        <v>201</v>
      </c>
      <c r="AD40" t="s">
        <v>202</v>
      </c>
      <c r="AE40" t="s">
        <v>1027</v>
      </c>
      <c r="AF40" t="s">
        <v>1028</v>
      </c>
      <c r="AG40" t="s">
        <v>196</v>
      </c>
      <c r="AH40" t="s">
        <v>205</v>
      </c>
      <c r="AI40">
        <v>20241106</v>
      </c>
      <c r="AJ40">
        <v>20241202</v>
      </c>
      <c r="AK40" t="s">
        <v>196</v>
      </c>
      <c r="AL40">
        <v>20241211</v>
      </c>
      <c r="AM40" t="s">
        <v>206</v>
      </c>
      <c r="AN40" t="s">
        <v>196</v>
      </c>
      <c r="AO40" t="s">
        <v>196</v>
      </c>
      <c r="AP40" t="s">
        <v>196</v>
      </c>
      <c r="AQ40" t="s">
        <v>196</v>
      </c>
      <c r="AR40" t="s">
        <v>196</v>
      </c>
      <c r="AS40" t="s">
        <v>196</v>
      </c>
      <c r="AT40" t="s">
        <v>196</v>
      </c>
      <c r="AU40" t="s">
        <v>196</v>
      </c>
      <c r="AV40" t="s">
        <v>196</v>
      </c>
      <c r="AW40" t="s">
        <v>196</v>
      </c>
      <c r="AX40" t="s">
        <v>196</v>
      </c>
      <c r="AY40" t="s">
        <v>196</v>
      </c>
      <c r="AZ40" t="s">
        <v>196</v>
      </c>
      <c r="BA40" t="s">
        <v>196</v>
      </c>
      <c r="BB40" t="s">
        <v>196</v>
      </c>
      <c r="BC40" t="s">
        <v>196</v>
      </c>
      <c r="BD40" s="1" t="s">
        <v>196</v>
      </c>
      <c r="BE40" s="1" t="s">
        <v>196</v>
      </c>
      <c r="BF40" t="s">
        <v>196</v>
      </c>
      <c r="BG40" t="s">
        <v>196</v>
      </c>
      <c r="BH40" t="s">
        <v>196</v>
      </c>
      <c r="BI40" t="s">
        <v>196</v>
      </c>
      <c r="BJ40" t="s">
        <v>196</v>
      </c>
      <c r="BK40" t="s">
        <v>196</v>
      </c>
      <c r="BL40" t="s">
        <v>196</v>
      </c>
      <c r="BM40" t="s">
        <v>196</v>
      </c>
      <c r="BN40" t="s">
        <v>196</v>
      </c>
      <c r="BO40" t="s">
        <v>196</v>
      </c>
      <c r="BP40" t="s">
        <v>196</v>
      </c>
      <c r="BQ40" t="s">
        <v>196</v>
      </c>
      <c r="BR40" t="s">
        <v>196</v>
      </c>
      <c r="BS40" t="s">
        <v>196</v>
      </c>
      <c r="BT40" t="s">
        <v>196</v>
      </c>
      <c r="BU40" t="s">
        <v>196</v>
      </c>
      <c r="BV40" t="s">
        <v>196</v>
      </c>
      <c r="BW40" t="s">
        <v>196</v>
      </c>
      <c r="BX40" t="s">
        <v>196</v>
      </c>
      <c r="BY40" t="s">
        <v>196</v>
      </c>
      <c r="BZ40" t="s">
        <v>196</v>
      </c>
      <c r="CA40" t="s">
        <v>196</v>
      </c>
      <c r="CB40" t="s">
        <v>196</v>
      </c>
      <c r="CC40" t="s">
        <v>196</v>
      </c>
      <c r="CD40" t="s">
        <v>196</v>
      </c>
      <c r="CE40" t="s">
        <v>196</v>
      </c>
      <c r="CF40" t="s">
        <v>196</v>
      </c>
      <c r="CG40" t="s">
        <v>196</v>
      </c>
      <c r="CH40" t="s">
        <v>196</v>
      </c>
      <c r="CI40" t="s">
        <v>196</v>
      </c>
      <c r="CJ40" t="s">
        <v>196</v>
      </c>
      <c r="CK40" t="s">
        <v>196</v>
      </c>
      <c r="CL40" t="s">
        <v>196</v>
      </c>
      <c r="CM40" t="s">
        <v>196</v>
      </c>
      <c r="CN40" t="s">
        <v>196</v>
      </c>
      <c r="CO40" s="1" t="s">
        <v>196</v>
      </c>
      <c r="CP40" s="1" t="s">
        <v>196</v>
      </c>
      <c r="CQ40" t="s">
        <v>196</v>
      </c>
      <c r="CR40" t="s">
        <v>196</v>
      </c>
      <c r="CS40" t="s">
        <v>196</v>
      </c>
      <c r="CT40" t="s">
        <v>196</v>
      </c>
      <c r="CU40" t="s">
        <v>196</v>
      </c>
      <c r="CV40" t="s">
        <v>196</v>
      </c>
      <c r="CW40" t="s">
        <v>196</v>
      </c>
      <c r="CX40" t="s">
        <v>196</v>
      </c>
      <c r="CY40" t="s">
        <v>196</v>
      </c>
      <c r="CZ40" t="s">
        <v>196</v>
      </c>
      <c r="DA40" t="s">
        <v>196</v>
      </c>
      <c r="DB40" t="s">
        <v>196</v>
      </c>
      <c r="DC40" t="s">
        <v>196</v>
      </c>
      <c r="DD40" t="s">
        <v>196</v>
      </c>
      <c r="DE40" t="s">
        <v>196</v>
      </c>
      <c r="DF40" t="s">
        <v>196</v>
      </c>
      <c r="DG40" t="s">
        <v>196</v>
      </c>
      <c r="DH40" t="s">
        <v>196</v>
      </c>
      <c r="DI40" t="s">
        <v>196</v>
      </c>
      <c r="DJ40" t="s">
        <v>196</v>
      </c>
      <c r="DK40" t="s">
        <v>196</v>
      </c>
      <c r="DL40" t="s">
        <v>196</v>
      </c>
      <c r="DM40" t="s">
        <v>196</v>
      </c>
      <c r="DN40" t="s">
        <v>196</v>
      </c>
      <c r="DO40" t="s">
        <v>196</v>
      </c>
      <c r="DP40" t="s">
        <v>196</v>
      </c>
      <c r="DQ40" t="s">
        <v>196</v>
      </c>
      <c r="DR40" t="s">
        <v>196</v>
      </c>
      <c r="DS40" t="s">
        <v>196</v>
      </c>
      <c r="DT40" t="s">
        <v>196</v>
      </c>
      <c r="DU40" t="s">
        <v>196</v>
      </c>
      <c r="DV40" t="s">
        <v>196</v>
      </c>
      <c r="DW40" t="s">
        <v>196</v>
      </c>
      <c r="DX40" t="s">
        <v>196</v>
      </c>
      <c r="DY40" t="s">
        <v>196</v>
      </c>
      <c r="DZ40" t="s">
        <v>196</v>
      </c>
      <c r="EA40" t="s">
        <v>196</v>
      </c>
      <c r="EB40" t="s">
        <v>196</v>
      </c>
      <c r="EC40" t="s">
        <v>196</v>
      </c>
      <c r="ED40" t="s">
        <v>196</v>
      </c>
      <c r="EE40" t="s">
        <v>196</v>
      </c>
      <c r="EF40" t="s">
        <v>196</v>
      </c>
      <c r="EG40" t="s">
        <v>196</v>
      </c>
      <c r="EH40" t="s">
        <v>196</v>
      </c>
      <c r="EI40" t="s">
        <v>196</v>
      </c>
      <c r="EJ40" t="s">
        <v>196</v>
      </c>
      <c r="EK40" t="s">
        <v>196</v>
      </c>
      <c r="EL40" t="s">
        <v>196</v>
      </c>
      <c r="EM40" t="s">
        <v>196</v>
      </c>
      <c r="EN40" t="s">
        <v>196</v>
      </c>
      <c r="EO40" t="s">
        <v>196</v>
      </c>
      <c r="EP40" t="str">
        <f t="shared" si="1"/>
        <v>Active</v>
      </c>
    </row>
    <row r="41" spans="1:146">
      <c r="A41" t="s">
        <v>3</v>
      </c>
      <c r="B41" t="s">
        <v>1029</v>
      </c>
      <c r="C41" t="s">
        <v>16</v>
      </c>
      <c r="D41" t="s">
        <v>638</v>
      </c>
      <c r="E41" t="s">
        <v>7</v>
      </c>
      <c r="F41" t="s">
        <v>1030</v>
      </c>
      <c r="G41" t="s">
        <v>1031</v>
      </c>
      <c r="H41" t="s">
        <v>1032</v>
      </c>
      <c r="I41" t="s">
        <v>1033</v>
      </c>
      <c r="J41" t="s">
        <v>1034</v>
      </c>
      <c r="K41" t="s">
        <v>178</v>
      </c>
      <c r="L41" t="s">
        <v>179</v>
      </c>
      <c r="M41" t="s">
        <v>1032</v>
      </c>
      <c r="N41">
        <v>420222</v>
      </c>
      <c r="O41" t="s">
        <v>196</v>
      </c>
      <c r="P41" t="s">
        <v>1035</v>
      </c>
      <c r="Q41" t="s">
        <v>1036</v>
      </c>
      <c r="R41" t="s">
        <v>1037</v>
      </c>
      <c r="S41" t="b">
        <v>1</v>
      </c>
      <c r="T41" t="s">
        <v>1038</v>
      </c>
      <c r="U41" s="1">
        <v>846000000000</v>
      </c>
      <c r="V41" t="s">
        <v>184</v>
      </c>
      <c r="W41">
        <v>95595</v>
      </c>
      <c r="X41" t="s">
        <v>1039</v>
      </c>
      <c r="Y41" t="s">
        <v>1040</v>
      </c>
      <c r="Z41" t="s">
        <v>196</v>
      </c>
      <c r="AA41" t="s">
        <v>16</v>
      </c>
      <c r="AB41" t="s">
        <v>188</v>
      </c>
      <c r="AC41" t="s">
        <v>201</v>
      </c>
      <c r="AD41" t="s">
        <v>1041</v>
      </c>
      <c r="AE41" t="s">
        <v>1042</v>
      </c>
      <c r="AF41" t="s">
        <v>1043</v>
      </c>
      <c r="AG41" t="s">
        <v>1044</v>
      </c>
      <c r="AH41" t="s">
        <v>1045</v>
      </c>
      <c r="AI41">
        <v>20241024</v>
      </c>
      <c r="AJ41">
        <v>20241122</v>
      </c>
      <c r="AK41" t="s">
        <v>196</v>
      </c>
      <c r="AL41">
        <v>20241204</v>
      </c>
      <c r="AM41" t="s">
        <v>1046</v>
      </c>
      <c r="AN41" t="s">
        <v>196</v>
      </c>
      <c r="AO41" t="s">
        <v>196</v>
      </c>
      <c r="AP41" t="s">
        <v>196</v>
      </c>
      <c r="AQ41" t="s">
        <v>196</v>
      </c>
      <c r="AR41" t="s">
        <v>196</v>
      </c>
      <c r="AS41" t="s">
        <v>196</v>
      </c>
      <c r="AT41" t="s">
        <v>196</v>
      </c>
      <c r="AU41" t="s">
        <v>196</v>
      </c>
      <c r="AV41" t="s">
        <v>196</v>
      </c>
      <c r="AW41" t="s">
        <v>196</v>
      </c>
      <c r="AX41" t="s">
        <v>196</v>
      </c>
      <c r="AY41" t="s">
        <v>196</v>
      </c>
      <c r="AZ41" t="s">
        <v>196</v>
      </c>
      <c r="BA41" t="s">
        <v>196</v>
      </c>
      <c r="BB41" t="s">
        <v>196</v>
      </c>
      <c r="BC41" t="s">
        <v>196</v>
      </c>
      <c r="BD41" s="1">
        <v>846000000000</v>
      </c>
      <c r="BE41" t="s">
        <v>196</v>
      </c>
      <c r="BF41" t="s">
        <v>196</v>
      </c>
      <c r="BG41" t="s">
        <v>196</v>
      </c>
      <c r="BH41" t="s">
        <v>196</v>
      </c>
      <c r="BI41" t="s">
        <v>196</v>
      </c>
      <c r="BJ41" t="s">
        <v>196</v>
      </c>
      <c r="BK41" t="s">
        <v>196</v>
      </c>
      <c r="BL41" t="s">
        <v>196</v>
      </c>
      <c r="BM41" t="s">
        <v>196</v>
      </c>
      <c r="BN41" t="s">
        <v>196</v>
      </c>
      <c r="BO41" t="s">
        <v>196</v>
      </c>
      <c r="BP41" t="s">
        <v>196</v>
      </c>
      <c r="BQ41" t="s">
        <v>196</v>
      </c>
      <c r="BR41" t="s">
        <v>196</v>
      </c>
      <c r="BS41" t="s">
        <v>196</v>
      </c>
      <c r="BT41" t="s">
        <v>196</v>
      </c>
      <c r="BU41" t="s">
        <v>196</v>
      </c>
      <c r="BV41" t="s">
        <v>196</v>
      </c>
      <c r="BW41" t="s">
        <v>196</v>
      </c>
      <c r="BX41" t="s">
        <v>196</v>
      </c>
      <c r="BY41" t="s">
        <v>196</v>
      </c>
      <c r="BZ41" t="s">
        <v>196</v>
      </c>
      <c r="CA41" t="s">
        <v>196</v>
      </c>
      <c r="CB41" t="s">
        <v>196</v>
      </c>
      <c r="CC41" t="s">
        <v>196</v>
      </c>
      <c r="CD41" t="s">
        <v>196</v>
      </c>
      <c r="CE41" t="s">
        <v>196</v>
      </c>
      <c r="CF41" t="s">
        <v>196</v>
      </c>
      <c r="CG41" t="s">
        <v>196</v>
      </c>
      <c r="CH41" t="s">
        <v>196</v>
      </c>
      <c r="CI41" t="s">
        <v>196</v>
      </c>
      <c r="CJ41" t="s">
        <v>196</v>
      </c>
      <c r="CK41" t="s">
        <v>196</v>
      </c>
      <c r="CL41" t="s">
        <v>196</v>
      </c>
      <c r="CM41" t="s">
        <v>196</v>
      </c>
      <c r="CN41" t="s">
        <v>196</v>
      </c>
      <c r="CO41" t="s">
        <v>196</v>
      </c>
      <c r="CP41" t="s">
        <v>196</v>
      </c>
      <c r="CQ41" t="s">
        <v>196</v>
      </c>
      <c r="CR41" t="s">
        <v>196</v>
      </c>
      <c r="CS41" t="s">
        <v>196</v>
      </c>
      <c r="CT41" t="s">
        <v>196</v>
      </c>
      <c r="CU41" t="s">
        <v>196</v>
      </c>
      <c r="CV41" t="s">
        <v>196</v>
      </c>
      <c r="CW41" t="s">
        <v>196</v>
      </c>
      <c r="CX41" t="s">
        <v>196</v>
      </c>
      <c r="CY41" t="s">
        <v>196</v>
      </c>
      <c r="CZ41" t="s">
        <v>196</v>
      </c>
      <c r="DA41" t="s">
        <v>196</v>
      </c>
      <c r="DB41" t="s">
        <v>196</v>
      </c>
      <c r="DC41" t="s">
        <v>196</v>
      </c>
      <c r="DD41" t="s">
        <v>196</v>
      </c>
      <c r="DE41" t="s">
        <v>196</v>
      </c>
      <c r="DF41" t="s">
        <v>196</v>
      </c>
      <c r="DG41" t="s">
        <v>196</v>
      </c>
      <c r="DH41" t="s">
        <v>196</v>
      </c>
      <c r="DI41" t="s">
        <v>196</v>
      </c>
      <c r="DJ41" t="s">
        <v>196</v>
      </c>
      <c r="DK41" t="s">
        <v>196</v>
      </c>
      <c r="DL41" t="s">
        <v>196</v>
      </c>
      <c r="DM41" t="s">
        <v>196</v>
      </c>
      <c r="DN41" t="s">
        <v>196</v>
      </c>
      <c r="DO41" t="s">
        <v>196</v>
      </c>
      <c r="DP41" t="s">
        <v>196</v>
      </c>
      <c r="DQ41" t="s">
        <v>196</v>
      </c>
      <c r="DR41" t="s">
        <v>196</v>
      </c>
      <c r="DS41" t="s">
        <v>196</v>
      </c>
      <c r="DT41" t="s">
        <v>196</v>
      </c>
      <c r="DU41" t="s">
        <v>196</v>
      </c>
      <c r="DV41" t="s">
        <v>196</v>
      </c>
      <c r="DW41" t="s">
        <v>196</v>
      </c>
      <c r="DX41" t="s">
        <v>196</v>
      </c>
      <c r="DY41" t="s">
        <v>196</v>
      </c>
      <c r="DZ41" t="s">
        <v>196</v>
      </c>
      <c r="EA41" t="s">
        <v>196</v>
      </c>
      <c r="EB41" t="s">
        <v>196</v>
      </c>
      <c r="EC41" t="s">
        <v>196</v>
      </c>
      <c r="ED41" t="s">
        <v>196</v>
      </c>
      <c r="EE41" t="s">
        <v>196</v>
      </c>
      <c r="EF41" t="s">
        <v>196</v>
      </c>
      <c r="EG41" t="s">
        <v>196</v>
      </c>
      <c r="EH41" t="s">
        <v>196</v>
      </c>
      <c r="EI41" t="s">
        <v>196</v>
      </c>
      <c r="EJ41" t="s">
        <v>196</v>
      </c>
      <c r="EK41" t="s">
        <v>196</v>
      </c>
      <c r="EL41" t="s">
        <v>196</v>
      </c>
      <c r="EM41" t="s">
        <v>196</v>
      </c>
      <c r="EN41" t="s">
        <v>196</v>
      </c>
      <c r="EO41" t="s">
        <v>196</v>
      </c>
      <c r="EP41" t="str">
        <f t="shared" si="1"/>
        <v>Active</v>
      </c>
    </row>
    <row r="42" spans="1:146">
      <c r="A42" t="s">
        <v>4</v>
      </c>
      <c r="B42" t="s">
        <v>1047</v>
      </c>
      <c r="C42" t="s">
        <v>18</v>
      </c>
      <c r="D42" t="s">
        <v>172</v>
      </c>
      <c r="E42" t="s">
        <v>7</v>
      </c>
      <c r="F42" t="s">
        <v>1048</v>
      </c>
      <c r="G42" t="s">
        <v>1049</v>
      </c>
      <c r="H42" t="s">
        <v>1049</v>
      </c>
      <c r="I42" t="s">
        <v>915</v>
      </c>
      <c r="J42" t="s">
        <v>1050</v>
      </c>
      <c r="K42" t="s">
        <v>212</v>
      </c>
      <c r="L42" t="s">
        <v>213</v>
      </c>
      <c r="M42" t="s">
        <v>1051</v>
      </c>
      <c r="N42" t="s">
        <v>196</v>
      </c>
      <c r="O42" t="s">
        <v>196</v>
      </c>
      <c r="P42" t="s">
        <v>1052</v>
      </c>
      <c r="Q42" t="s">
        <v>1053</v>
      </c>
      <c r="R42" t="s">
        <v>1054</v>
      </c>
      <c r="S42" t="b">
        <v>1</v>
      </c>
      <c r="T42" t="s">
        <v>1055</v>
      </c>
      <c r="U42" s="1" t="s">
        <v>196</v>
      </c>
      <c r="V42" t="s">
        <v>184</v>
      </c>
      <c r="W42">
        <v>64100</v>
      </c>
      <c r="X42" t="s">
        <v>1056</v>
      </c>
      <c r="Y42" t="s">
        <v>1057</v>
      </c>
      <c r="Z42" t="s">
        <v>196</v>
      </c>
      <c r="AA42" t="s">
        <v>1058</v>
      </c>
      <c r="AB42" t="s">
        <v>188</v>
      </c>
      <c r="AC42" t="s">
        <v>201</v>
      </c>
      <c r="AD42" t="s">
        <v>1059</v>
      </c>
      <c r="AE42" t="s">
        <v>1060</v>
      </c>
      <c r="AF42" t="s">
        <v>1061</v>
      </c>
      <c r="AG42" t="s">
        <v>1062</v>
      </c>
      <c r="AH42" t="s">
        <v>1063</v>
      </c>
      <c r="AI42">
        <v>20130206</v>
      </c>
      <c r="AJ42">
        <v>20130327</v>
      </c>
      <c r="AK42">
        <v>20140804</v>
      </c>
      <c r="AL42">
        <v>20130403</v>
      </c>
      <c r="AM42" t="s">
        <v>1064</v>
      </c>
      <c r="AN42" t="s">
        <v>196</v>
      </c>
      <c r="AO42" t="s">
        <v>1065</v>
      </c>
      <c r="AP42" t="s">
        <v>1066</v>
      </c>
      <c r="AQ42" t="s">
        <v>196</v>
      </c>
      <c r="AR42" t="s">
        <v>1067</v>
      </c>
      <c r="AS42" t="s">
        <v>1068</v>
      </c>
      <c r="AT42" t="s">
        <v>1069</v>
      </c>
      <c r="AU42" t="s">
        <v>1070</v>
      </c>
      <c r="AV42" t="s">
        <v>1071</v>
      </c>
      <c r="AW42" t="s">
        <v>1072</v>
      </c>
      <c r="AX42" t="s">
        <v>1073</v>
      </c>
      <c r="AY42" t="s">
        <v>196</v>
      </c>
      <c r="AZ42" t="s">
        <v>196</v>
      </c>
      <c r="BA42" t="s">
        <v>196</v>
      </c>
      <c r="BB42" t="s">
        <v>196</v>
      </c>
      <c r="BC42" t="s">
        <v>196</v>
      </c>
      <c r="BD42" s="1" t="s">
        <v>196</v>
      </c>
      <c r="BE42" s="1" t="s">
        <v>196</v>
      </c>
      <c r="BF42" t="s">
        <v>196</v>
      </c>
      <c r="BG42" t="s">
        <v>196</v>
      </c>
      <c r="BH42" t="s">
        <v>196</v>
      </c>
      <c r="BI42" t="s">
        <v>196</v>
      </c>
      <c r="BJ42" t="s">
        <v>196</v>
      </c>
      <c r="BK42" t="s">
        <v>196</v>
      </c>
      <c r="BL42" t="s">
        <v>196</v>
      </c>
      <c r="BM42" t="s">
        <v>196</v>
      </c>
      <c r="BN42" t="s">
        <v>196</v>
      </c>
      <c r="BO42" t="s">
        <v>196</v>
      </c>
      <c r="BP42" t="s">
        <v>196</v>
      </c>
      <c r="BQ42" t="s">
        <v>196</v>
      </c>
      <c r="BR42" t="s">
        <v>196</v>
      </c>
      <c r="BS42" t="s">
        <v>196</v>
      </c>
      <c r="BT42" t="s">
        <v>196</v>
      </c>
      <c r="BU42" t="s">
        <v>196</v>
      </c>
      <c r="BV42" t="s">
        <v>196</v>
      </c>
      <c r="BW42" t="s">
        <v>196</v>
      </c>
      <c r="BX42" t="s">
        <v>196</v>
      </c>
      <c r="BY42" t="s">
        <v>196</v>
      </c>
      <c r="BZ42" t="s">
        <v>196</v>
      </c>
      <c r="CA42" t="s">
        <v>196</v>
      </c>
      <c r="CB42" t="s">
        <v>196</v>
      </c>
      <c r="CC42" t="s">
        <v>196</v>
      </c>
      <c r="CD42" t="s">
        <v>196</v>
      </c>
      <c r="CE42" t="s">
        <v>196</v>
      </c>
      <c r="CF42" t="s">
        <v>196</v>
      </c>
      <c r="CG42" t="s">
        <v>196</v>
      </c>
      <c r="CH42" t="s">
        <v>196</v>
      </c>
      <c r="CI42" t="s">
        <v>196</v>
      </c>
      <c r="CJ42" t="s">
        <v>196</v>
      </c>
      <c r="CK42" t="s">
        <v>196</v>
      </c>
      <c r="CL42" t="s">
        <v>196</v>
      </c>
      <c r="CM42" t="s">
        <v>196</v>
      </c>
      <c r="CN42" t="s">
        <v>196</v>
      </c>
      <c r="CO42" s="1" t="s">
        <v>196</v>
      </c>
      <c r="CP42" s="1" t="s">
        <v>196</v>
      </c>
      <c r="CQ42" t="s">
        <v>196</v>
      </c>
      <c r="CR42" t="s">
        <v>196</v>
      </c>
      <c r="CS42" t="s">
        <v>196</v>
      </c>
      <c r="CT42" t="s">
        <v>196</v>
      </c>
      <c r="CU42" t="s">
        <v>196</v>
      </c>
      <c r="CV42" t="s">
        <v>196</v>
      </c>
      <c r="CW42" t="s">
        <v>196</v>
      </c>
      <c r="CX42" t="s">
        <v>196</v>
      </c>
      <c r="CY42" t="s">
        <v>196</v>
      </c>
      <c r="CZ42" t="s">
        <v>196</v>
      </c>
      <c r="DA42" t="s">
        <v>196</v>
      </c>
      <c r="DB42" t="s">
        <v>196</v>
      </c>
      <c r="DC42" t="s">
        <v>196</v>
      </c>
      <c r="DD42" t="s">
        <v>196</v>
      </c>
      <c r="DE42" t="s">
        <v>196</v>
      </c>
      <c r="DF42" t="s">
        <v>196</v>
      </c>
      <c r="DG42" t="s">
        <v>196</v>
      </c>
      <c r="DH42" t="s">
        <v>196</v>
      </c>
      <c r="DI42" t="s">
        <v>196</v>
      </c>
      <c r="DJ42" t="s">
        <v>196</v>
      </c>
      <c r="DK42" t="s">
        <v>196</v>
      </c>
      <c r="DL42" t="s">
        <v>196</v>
      </c>
      <c r="DM42" t="s">
        <v>196</v>
      </c>
      <c r="DN42" t="s">
        <v>196</v>
      </c>
      <c r="DO42" t="s">
        <v>196</v>
      </c>
      <c r="DP42" t="s">
        <v>196</v>
      </c>
      <c r="DQ42" t="s">
        <v>196</v>
      </c>
      <c r="DR42" t="s">
        <v>196</v>
      </c>
      <c r="DS42" t="s">
        <v>196</v>
      </c>
      <c r="DT42" t="s">
        <v>196</v>
      </c>
      <c r="DU42" t="s">
        <v>196</v>
      </c>
      <c r="DV42" t="s">
        <v>196</v>
      </c>
      <c r="DW42" t="s">
        <v>196</v>
      </c>
      <c r="DX42" t="s">
        <v>196</v>
      </c>
      <c r="DY42" t="s">
        <v>196</v>
      </c>
      <c r="DZ42" t="s">
        <v>196</v>
      </c>
      <c r="EA42" t="s">
        <v>196</v>
      </c>
      <c r="EB42" t="s">
        <v>196</v>
      </c>
      <c r="EC42" t="s">
        <v>196</v>
      </c>
      <c r="ED42" t="s">
        <v>196</v>
      </c>
      <c r="EE42" t="s">
        <v>196</v>
      </c>
      <c r="EF42" t="s">
        <v>196</v>
      </c>
      <c r="EG42" t="s">
        <v>196</v>
      </c>
      <c r="EH42" t="s">
        <v>196</v>
      </c>
      <c r="EI42" t="s">
        <v>196</v>
      </c>
      <c r="EJ42" t="s">
        <v>196</v>
      </c>
      <c r="EK42" t="s">
        <v>196</v>
      </c>
      <c r="EL42" t="s">
        <v>196</v>
      </c>
      <c r="EM42" t="s">
        <v>196</v>
      </c>
      <c r="EN42" t="s">
        <v>196</v>
      </c>
      <c r="EO42" t="s">
        <v>196</v>
      </c>
      <c r="EP42" t="str">
        <f t="shared" si="1"/>
        <v>Inactive</v>
      </c>
    </row>
    <row r="43" spans="1:146">
      <c r="A43" t="s">
        <v>4</v>
      </c>
      <c r="B43" t="s">
        <v>1074</v>
      </c>
      <c r="C43" t="s">
        <v>11</v>
      </c>
      <c r="D43" t="s">
        <v>172</v>
      </c>
      <c r="E43" t="s">
        <v>7</v>
      </c>
      <c r="F43" t="s">
        <v>1075</v>
      </c>
      <c r="G43" t="s">
        <v>1076</v>
      </c>
      <c r="H43" t="s">
        <v>1076</v>
      </c>
      <c r="I43" t="s">
        <v>1077</v>
      </c>
      <c r="J43" t="s">
        <v>1078</v>
      </c>
      <c r="K43" t="s">
        <v>212</v>
      </c>
      <c r="L43" t="s">
        <v>213</v>
      </c>
      <c r="M43" t="s">
        <v>1076</v>
      </c>
      <c r="N43">
        <v>1366192</v>
      </c>
      <c r="O43" t="s">
        <v>196</v>
      </c>
      <c r="P43" t="s">
        <v>1079</v>
      </c>
      <c r="Q43" t="s">
        <v>1080</v>
      </c>
      <c r="R43" t="s">
        <v>1081</v>
      </c>
      <c r="S43" t="b">
        <v>1</v>
      </c>
      <c r="T43" t="s">
        <v>1082</v>
      </c>
      <c r="U43" s="1" t="s">
        <v>196</v>
      </c>
      <c r="V43" t="s">
        <v>184</v>
      </c>
      <c r="W43">
        <v>89395</v>
      </c>
      <c r="X43" t="s">
        <v>1083</v>
      </c>
      <c r="Y43" t="s">
        <v>1084</v>
      </c>
      <c r="Z43" t="s">
        <v>16</v>
      </c>
      <c r="AA43" t="s">
        <v>1085</v>
      </c>
      <c r="AB43" t="s">
        <v>188</v>
      </c>
      <c r="AC43" t="s">
        <v>201</v>
      </c>
      <c r="AD43" t="s">
        <v>1086</v>
      </c>
      <c r="AE43" t="s">
        <v>1087</v>
      </c>
      <c r="AF43" t="s">
        <v>1088</v>
      </c>
      <c r="AG43" t="s">
        <v>1089</v>
      </c>
      <c r="AH43" t="s">
        <v>1090</v>
      </c>
      <c r="AI43">
        <v>20220107</v>
      </c>
      <c r="AJ43">
        <v>20220118</v>
      </c>
      <c r="AK43">
        <v>20241213</v>
      </c>
      <c r="AL43">
        <v>20220126</v>
      </c>
      <c r="AM43" t="s">
        <v>1091</v>
      </c>
      <c r="AN43" t="s">
        <v>196</v>
      </c>
      <c r="AO43" t="s">
        <v>196</v>
      </c>
      <c r="AP43" t="s">
        <v>196</v>
      </c>
      <c r="AQ43" t="s">
        <v>196</v>
      </c>
      <c r="AR43" t="s">
        <v>196</v>
      </c>
      <c r="AS43" t="s">
        <v>196</v>
      </c>
      <c r="AT43" t="s">
        <v>196</v>
      </c>
      <c r="AU43" t="s">
        <v>196</v>
      </c>
      <c r="AV43" t="s">
        <v>196</v>
      </c>
      <c r="AW43" t="s">
        <v>196</v>
      </c>
      <c r="AX43" t="s">
        <v>196</v>
      </c>
      <c r="AY43" t="s">
        <v>196</v>
      </c>
      <c r="AZ43" t="s">
        <v>196</v>
      </c>
      <c r="BA43" t="s">
        <v>196</v>
      </c>
      <c r="BB43" t="s">
        <v>196</v>
      </c>
      <c r="BC43" t="s">
        <v>196</v>
      </c>
      <c r="BD43" s="1" t="s">
        <v>196</v>
      </c>
      <c r="BE43" t="s">
        <v>196</v>
      </c>
      <c r="BF43" t="s">
        <v>196</v>
      </c>
      <c r="BG43" t="s">
        <v>196</v>
      </c>
      <c r="BH43" t="s">
        <v>196</v>
      </c>
      <c r="BI43" t="s">
        <v>196</v>
      </c>
      <c r="BJ43" t="s">
        <v>196</v>
      </c>
      <c r="BK43" t="s">
        <v>196</v>
      </c>
      <c r="BL43" t="s">
        <v>196</v>
      </c>
      <c r="BM43" t="s">
        <v>196</v>
      </c>
      <c r="BN43" t="s">
        <v>196</v>
      </c>
      <c r="BO43" t="s">
        <v>196</v>
      </c>
      <c r="BP43" t="s">
        <v>196</v>
      </c>
      <c r="BQ43" t="s">
        <v>1092</v>
      </c>
      <c r="BR43" t="s">
        <v>1093</v>
      </c>
      <c r="BS43" t="s">
        <v>1094</v>
      </c>
      <c r="BT43" t="s">
        <v>1095</v>
      </c>
      <c r="BU43" t="s">
        <v>196</v>
      </c>
      <c r="BV43" t="s">
        <v>196</v>
      </c>
      <c r="BW43" t="s">
        <v>196</v>
      </c>
      <c r="BX43" t="s">
        <v>196</v>
      </c>
      <c r="BY43" t="s">
        <v>196</v>
      </c>
      <c r="BZ43" t="s">
        <v>196</v>
      </c>
      <c r="CA43" t="s">
        <v>196</v>
      </c>
      <c r="CB43" t="s">
        <v>196</v>
      </c>
      <c r="CC43" t="s">
        <v>196</v>
      </c>
      <c r="CD43" t="s">
        <v>196</v>
      </c>
      <c r="CE43" t="s">
        <v>196</v>
      </c>
      <c r="CF43" t="s">
        <v>196</v>
      </c>
      <c r="CG43" t="s">
        <v>196</v>
      </c>
      <c r="CH43" t="s">
        <v>196</v>
      </c>
      <c r="CI43" t="s">
        <v>196</v>
      </c>
      <c r="CJ43" t="s">
        <v>196</v>
      </c>
      <c r="CK43" t="s">
        <v>196</v>
      </c>
      <c r="CL43" t="s">
        <v>196</v>
      </c>
      <c r="CM43" t="s">
        <v>196</v>
      </c>
      <c r="CN43" t="s">
        <v>196</v>
      </c>
      <c r="CO43" t="s">
        <v>196</v>
      </c>
      <c r="CP43" t="s">
        <v>196</v>
      </c>
      <c r="CQ43" t="s">
        <v>196</v>
      </c>
      <c r="CR43" t="s">
        <v>196</v>
      </c>
      <c r="CS43" t="s">
        <v>196</v>
      </c>
      <c r="CT43" t="s">
        <v>196</v>
      </c>
      <c r="CU43" t="s">
        <v>196</v>
      </c>
      <c r="CV43" t="s">
        <v>196</v>
      </c>
      <c r="CW43" t="s">
        <v>196</v>
      </c>
      <c r="CX43" t="s">
        <v>196</v>
      </c>
      <c r="CY43" t="s">
        <v>1096</v>
      </c>
      <c r="CZ43" t="s">
        <v>1097</v>
      </c>
      <c r="DA43" t="s">
        <v>196</v>
      </c>
      <c r="DB43" t="s">
        <v>196</v>
      </c>
      <c r="DC43" t="s">
        <v>196</v>
      </c>
      <c r="DD43" t="s">
        <v>196</v>
      </c>
      <c r="DE43" t="s">
        <v>196</v>
      </c>
      <c r="DF43" t="s">
        <v>196</v>
      </c>
      <c r="DG43" t="s">
        <v>196</v>
      </c>
      <c r="DH43" t="s">
        <v>196</v>
      </c>
      <c r="DI43" t="s">
        <v>196</v>
      </c>
      <c r="DJ43" t="s">
        <v>196</v>
      </c>
      <c r="DK43" t="s">
        <v>196</v>
      </c>
      <c r="DL43" t="s">
        <v>196</v>
      </c>
      <c r="DM43" t="s">
        <v>196</v>
      </c>
      <c r="DN43" t="s">
        <v>196</v>
      </c>
      <c r="DO43" t="s">
        <v>196</v>
      </c>
      <c r="DP43" t="s">
        <v>196</v>
      </c>
      <c r="DQ43" t="s">
        <v>196</v>
      </c>
      <c r="DR43" t="s">
        <v>196</v>
      </c>
      <c r="DS43" t="s">
        <v>196</v>
      </c>
      <c r="DT43" t="s">
        <v>196</v>
      </c>
      <c r="DU43" t="s">
        <v>196</v>
      </c>
      <c r="DV43" t="s">
        <v>196</v>
      </c>
      <c r="DW43" t="s">
        <v>196</v>
      </c>
      <c r="DX43" t="s">
        <v>196</v>
      </c>
      <c r="DY43" t="s">
        <v>196</v>
      </c>
      <c r="DZ43" t="s">
        <v>196</v>
      </c>
      <c r="EA43" t="s">
        <v>196</v>
      </c>
      <c r="EB43" t="s">
        <v>1098</v>
      </c>
      <c r="EC43" t="s">
        <v>196</v>
      </c>
      <c r="ED43" t="s">
        <v>196</v>
      </c>
      <c r="EE43" t="s">
        <v>196</v>
      </c>
      <c r="EF43" t="s">
        <v>196</v>
      </c>
      <c r="EG43" t="s">
        <v>196</v>
      </c>
      <c r="EH43" t="s">
        <v>1099</v>
      </c>
      <c r="EI43" t="s">
        <v>196</v>
      </c>
      <c r="EJ43" t="s">
        <v>196</v>
      </c>
      <c r="EK43" t="s">
        <v>196</v>
      </c>
      <c r="EL43" t="s">
        <v>196</v>
      </c>
      <c r="EM43" t="s">
        <v>196</v>
      </c>
      <c r="EN43" t="s">
        <v>196</v>
      </c>
      <c r="EO43" t="s">
        <v>196</v>
      </c>
      <c r="EP43" t="str">
        <f t="shared" si="1"/>
        <v>Inactive</v>
      </c>
    </row>
    <row r="44" spans="1:146">
      <c r="A44" t="s">
        <v>3</v>
      </c>
      <c r="B44" t="s">
        <v>436</v>
      </c>
      <c r="C44" t="s">
        <v>20</v>
      </c>
      <c r="D44" t="s">
        <v>172</v>
      </c>
      <c r="E44" t="s">
        <v>7</v>
      </c>
      <c r="F44" t="s">
        <v>437</v>
      </c>
      <c r="G44" t="s">
        <v>438</v>
      </c>
      <c r="H44" t="s">
        <v>439</v>
      </c>
      <c r="I44" t="s">
        <v>440</v>
      </c>
      <c r="J44" t="s">
        <v>441</v>
      </c>
      <c r="K44" t="s">
        <v>212</v>
      </c>
      <c r="L44" t="s">
        <v>213</v>
      </c>
      <c r="M44" t="s">
        <v>439</v>
      </c>
      <c r="N44">
        <v>596926</v>
      </c>
      <c r="O44">
        <v>596930</v>
      </c>
      <c r="P44" t="s">
        <v>442</v>
      </c>
      <c r="Q44" t="s">
        <v>443</v>
      </c>
      <c r="R44" t="s">
        <v>444</v>
      </c>
      <c r="S44" t="b">
        <v>1</v>
      </c>
      <c r="T44" t="s">
        <v>445</v>
      </c>
      <c r="U44" s="1">
        <v>368000000000</v>
      </c>
      <c r="V44" t="s">
        <v>184</v>
      </c>
      <c r="W44">
        <v>95849</v>
      </c>
      <c r="X44" t="s">
        <v>446</v>
      </c>
      <c r="Y44" t="s">
        <v>447</v>
      </c>
      <c r="Z44" t="s">
        <v>196</v>
      </c>
      <c r="AA44" t="s">
        <v>448</v>
      </c>
      <c r="AB44" t="s">
        <v>188</v>
      </c>
      <c r="AC44" t="s">
        <v>201</v>
      </c>
      <c r="AD44" t="s">
        <v>449</v>
      </c>
      <c r="AE44" t="s">
        <v>1100</v>
      </c>
      <c r="AF44" t="s">
        <v>1101</v>
      </c>
      <c r="AG44" t="s">
        <v>1102</v>
      </c>
      <c r="AH44" t="s">
        <v>453</v>
      </c>
      <c r="AI44">
        <v>20241114</v>
      </c>
      <c r="AJ44">
        <v>20241203</v>
      </c>
      <c r="AK44" t="s">
        <v>196</v>
      </c>
      <c r="AL44">
        <v>20241211</v>
      </c>
      <c r="AM44" t="s">
        <v>1103</v>
      </c>
      <c r="AN44" t="s">
        <v>196</v>
      </c>
      <c r="AO44" t="s">
        <v>455</v>
      </c>
      <c r="AP44" t="s">
        <v>456</v>
      </c>
      <c r="AQ44">
        <v>596934</v>
      </c>
      <c r="AR44" t="s">
        <v>457</v>
      </c>
      <c r="AS44" t="s">
        <v>458</v>
      </c>
      <c r="AT44" t="s">
        <v>459</v>
      </c>
      <c r="AU44" t="s">
        <v>460</v>
      </c>
      <c r="AV44" t="s">
        <v>461</v>
      </c>
      <c r="AW44" t="s">
        <v>462</v>
      </c>
      <c r="AX44" t="s">
        <v>196</v>
      </c>
      <c r="AY44" t="s">
        <v>196</v>
      </c>
      <c r="AZ44" t="s">
        <v>196</v>
      </c>
      <c r="BA44" t="s">
        <v>196</v>
      </c>
      <c r="BB44" t="s">
        <v>196</v>
      </c>
      <c r="BC44" t="s">
        <v>196</v>
      </c>
      <c r="BD44" s="1">
        <v>368000000000</v>
      </c>
      <c r="BE44" s="1">
        <v>368000000000</v>
      </c>
      <c r="BF44" t="s">
        <v>196</v>
      </c>
      <c r="BG44" t="s">
        <v>196</v>
      </c>
      <c r="BH44" t="s">
        <v>196</v>
      </c>
      <c r="BI44" t="s">
        <v>196</v>
      </c>
      <c r="BJ44" t="s">
        <v>196</v>
      </c>
      <c r="BK44" t="s">
        <v>196</v>
      </c>
      <c r="BL44" t="s">
        <v>196</v>
      </c>
      <c r="BM44" t="s">
        <v>196</v>
      </c>
      <c r="BN44" t="s">
        <v>196</v>
      </c>
      <c r="BO44" t="s">
        <v>196</v>
      </c>
      <c r="BP44" t="s">
        <v>196</v>
      </c>
      <c r="BQ44" t="s">
        <v>196</v>
      </c>
      <c r="BR44" t="s">
        <v>196</v>
      </c>
      <c r="BS44" t="s">
        <v>196</v>
      </c>
      <c r="BT44" t="s">
        <v>196</v>
      </c>
      <c r="BU44" t="s">
        <v>196</v>
      </c>
      <c r="BV44" t="s">
        <v>196</v>
      </c>
      <c r="BW44" t="s">
        <v>196</v>
      </c>
      <c r="BX44" t="s">
        <v>196</v>
      </c>
      <c r="BY44" t="s">
        <v>196</v>
      </c>
      <c r="BZ44" t="s">
        <v>196</v>
      </c>
      <c r="CA44" t="s">
        <v>196</v>
      </c>
      <c r="CB44" t="s">
        <v>196</v>
      </c>
      <c r="CC44" t="s">
        <v>196</v>
      </c>
      <c r="CD44" t="s">
        <v>196</v>
      </c>
      <c r="CE44" t="s">
        <v>196</v>
      </c>
      <c r="CF44" t="s">
        <v>196</v>
      </c>
      <c r="CG44" t="s">
        <v>196</v>
      </c>
      <c r="CH44" t="s">
        <v>196</v>
      </c>
      <c r="CI44" t="s">
        <v>196</v>
      </c>
      <c r="CJ44" t="s">
        <v>196</v>
      </c>
      <c r="CK44" t="s">
        <v>196</v>
      </c>
      <c r="CL44" t="s">
        <v>196</v>
      </c>
      <c r="CM44" t="s">
        <v>196</v>
      </c>
      <c r="CN44" t="s">
        <v>196</v>
      </c>
      <c r="CO44" s="1" t="s">
        <v>196</v>
      </c>
      <c r="CP44" s="1" t="s">
        <v>196</v>
      </c>
      <c r="CQ44" t="s">
        <v>196</v>
      </c>
      <c r="CR44" t="s">
        <v>196</v>
      </c>
      <c r="CS44" t="s">
        <v>196</v>
      </c>
      <c r="CT44" t="s">
        <v>196</v>
      </c>
      <c r="CU44" t="s">
        <v>196</v>
      </c>
      <c r="CV44" t="s">
        <v>196</v>
      </c>
      <c r="CW44" t="s">
        <v>196</v>
      </c>
      <c r="CX44" t="s">
        <v>196</v>
      </c>
      <c r="CY44" t="s">
        <v>196</v>
      </c>
      <c r="CZ44" t="s">
        <v>196</v>
      </c>
      <c r="DA44" t="s">
        <v>196</v>
      </c>
      <c r="DB44" t="s">
        <v>196</v>
      </c>
      <c r="DC44" t="s">
        <v>196</v>
      </c>
      <c r="DD44" t="s">
        <v>196</v>
      </c>
      <c r="DE44" t="s">
        <v>196</v>
      </c>
      <c r="DF44" t="s">
        <v>196</v>
      </c>
      <c r="DG44" t="s">
        <v>196</v>
      </c>
      <c r="DH44" t="s">
        <v>196</v>
      </c>
      <c r="DI44" t="s">
        <v>196</v>
      </c>
      <c r="DJ44" t="s">
        <v>196</v>
      </c>
      <c r="DK44" t="s">
        <v>196</v>
      </c>
      <c r="DL44" t="s">
        <v>196</v>
      </c>
      <c r="DM44" t="s">
        <v>196</v>
      </c>
      <c r="DN44" t="s">
        <v>196</v>
      </c>
      <c r="DO44" t="s">
        <v>196</v>
      </c>
      <c r="DP44" t="s">
        <v>196</v>
      </c>
      <c r="DQ44" t="s">
        <v>196</v>
      </c>
      <c r="DR44" t="s">
        <v>196</v>
      </c>
      <c r="DS44" t="s">
        <v>196</v>
      </c>
      <c r="DT44" t="s">
        <v>196</v>
      </c>
      <c r="DU44" t="s">
        <v>196</v>
      </c>
      <c r="DV44" t="s">
        <v>196</v>
      </c>
      <c r="DW44" t="s">
        <v>196</v>
      </c>
      <c r="DX44" t="s">
        <v>196</v>
      </c>
      <c r="DY44" t="s">
        <v>196</v>
      </c>
      <c r="DZ44" t="s">
        <v>196</v>
      </c>
      <c r="EA44" t="s">
        <v>196</v>
      </c>
      <c r="EB44" t="s">
        <v>196</v>
      </c>
      <c r="EC44" t="s">
        <v>196</v>
      </c>
      <c r="ED44" t="s">
        <v>196</v>
      </c>
      <c r="EE44" t="s">
        <v>196</v>
      </c>
      <c r="EF44" t="s">
        <v>196</v>
      </c>
      <c r="EG44" t="s">
        <v>196</v>
      </c>
      <c r="EH44" t="s">
        <v>196</v>
      </c>
      <c r="EI44" t="s">
        <v>196</v>
      </c>
      <c r="EJ44" t="s">
        <v>196</v>
      </c>
      <c r="EK44" t="s">
        <v>196</v>
      </c>
      <c r="EL44" t="s">
        <v>196</v>
      </c>
      <c r="EM44" t="s">
        <v>196</v>
      </c>
      <c r="EN44" t="s">
        <v>196</v>
      </c>
      <c r="EO44" t="s">
        <v>196</v>
      </c>
      <c r="EP44" t="str">
        <f t="shared" si="1"/>
        <v>Active</v>
      </c>
    </row>
    <row r="45" spans="1:146">
      <c r="A45" t="s">
        <v>3</v>
      </c>
      <c r="B45" t="s">
        <v>514</v>
      </c>
      <c r="C45" t="s">
        <v>21</v>
      </c>
      <c r="D45" t="s">
        <v>172</v>
      </c>
      <c r="E45" t="s">
        <v>7</v>
      </c>
      <c r="F45" t="s">
        <v>1104</v>
      </c>
      <c r="G45" t="s">
        <v>1105</v>
      </c>
      <c r="H45" t="s">
        <v>1105</v>
      </c>
      <c r="I45" t="s">
        <v>515</v>
      </c>
      <c r="J45" t="s">
        <v>1106</v>
      </c>
      <c r="K45" t="s">
        <v>212</v>
      </c>
      <c r="L45" t="s">
        <v>213</v>
      </c>
      <c r="M45" t="s">
        <v>1105</v>
      </c>
      <c r="N45">
        <v>616279</v>
      </c>
      <c r="O45">
        <v>616285</v>
      </c>
      <c r="P45" t="s">
        <v>1107</v>
      </c>
      <c r="Q45" t="s">
        <v>1108</v>
      </c>
      <c r="R45" t="s">
        <v>1109</v>
      </c>
      <c r="S45" t="s">
        <v>196</v>
      </c>
      <c r="T45" t="s">
        <v>1110</v>
      </c>
      <c r="U45" s="1" t="s">
        <v>196</v>
      </c>
      <c r="V45" t="s">
        <v>184</v>
      </c>
      <c r="W45">
        <v>95596</v>
      </c>
      <c r="X45" t="s">
        <v>515</v>
      </c>
      <c r="Y45" t="s">
        <v>520</v>
      </c>
      <c r="Z45" t="s">
        <v>196</v>
      </c>
      <c r="AA45" t="s">
        <v>521</v>
      </c>
      <c r="AB45" t="s">
        <v>188</v>
      </c>
      <c r="AC45" t="s">
        <v>201</v>
      </c>
      <c r="AD45" t="s">
        <v>908</v>
      </c>
      <c r="AE45" t="s">
        <v>1111</v>
      </c>
      <c r="AF45" t="s">
        <v>1112</v>
      </c>
      <c r="AG45" t="s">
        <v>1113</v>
      </c>
      <c r="AH45" t="s">
        <v>1114</v>
      </c>
      <c r="AI45">
        <v>20241018</v>
      </c>
      <c r="AJ45">
        <v>20241204</v>
      </c>
      <c r="AK45" t="s">
        <v>196</v>
      </c>
      <c r="AL45">
        <v>20241211</v>
      </c>
      <c r="AM45" t="s">
        <v>1115</v>
      </c>
      <c r="AN45" t="s">
        <v>196</v>
      </c>
      <c r="AO45" t="s">
        <v>1116</v>
      </c>
      <c r="AP45" t="s">
        <v>1117</v>
      </c>
      <c r="AQ45">
        <v>616289</v>
      </c>
      <c r="AR45" t="s">
        <v>1118</v>
      </c>
      <c r="AS45" t="s">
        <v>1119</v>
      </c>
      <c r="AT45" t="s">
        <v>1120</v>
      </c>
      <c r="AU45" t="s">
        <v>196</v>
      </c>
      <c r="AV45" t="s">
        <v>196</v>
      </c>
      <c r="AW45" t="s">
        <v>196</v>
      </c>
      <c r="AX45" t="s">
        <v>196</v>
      </c>
      <c r="AY45" t="s">
        <v>196</v>
      </c>
      <c r="AZ45" t="s">
        <v>196</v>
      </c>
      <c r="BA45" t="s">
        <v>196</v>
      </c>
      <c r="BB45" t="s">
        <v>196</v>
      </c>
      <c r="BC45" t="s">
        <v>196</v>
      </c>
      <c r="BD45" s="1" t="s">
        <v>196</v>
      </c>
      <c r="BE45" t="s">
        <v>196</v>
      </c>
      <c r="BF45" t="s">
        <v>1121</v>
      </c>
      <c r="BG45" t="s">
        <v>196</v>
      </c>
      <c r="BH45" t="s">
        <v>196</v>
      </c>
      <c r="BI45" t="s">
        <v>196</v>
      </c>
      <c r="BJ45" t="s">
        <v>196</v>
      </c>
      <c r="BK45" t="s">
        <v>196</v>
      </c>
      <c r="BL45" t="s">
        <v>196</v>
      </c>
      <c r="BM45" t="s">
        <v>196</v>
      </c>
      <c r="BN45" t="s">
        <v>196</v>
      </c>
      <c r="BO45" t="s">
        <v>196</v>
      </c>
      <c r="BP45">
        <v>1541890</v>
      </c>
      <c r="BQ45" t="s">
        <v>196</v>
      </c>
      <c r="BR45" t="s">
        <v>196</v>
      </c>
      <c r="BS45" t="s">
        <v>196</v>
      </c>
      <c r="BT45" t="s">
        <v>196</v>
      </c>
      <c r="BU45" t="s">
        <v>196</v>
      </c>
      <c r="BV45" t="s">
        <v>196</v>
      </c>
      <c r="BW45" t="s">
        <v>196</v>
      </c>
      <c r="BX45" t="s">
        <v>196</v>
      </c>
      <c r="BY45" t="s">
        <v>196</v>
      </c>
      <c r="BZ45" t="s">
        <v>196</v>
      </c>
      <c r="CA45" t="s">
        <v>196</v>
      </c>
      <c r="CB45" t="s">
        <v>196</v>
      </c>
      <c r="CC45" t="s">
        <v>196</v>
      </c>
      <c r="CD45" t="s">
        <v>196</v>
      </c>
      <c r="CE45" t="s">
        <v>196</v>
      </c>
      <c r="CF45" t="s">
        <v>196</v>
      </c>
      <c r="CG45" t="s">
        <v>196</v>
      </c>
      <c r="CH45" t="s">
        <v>196</v>
      </c>
      <c r="CI45" t="s">
        <v>196</v>
      </c>
      <c r="CJ45" t="s">
        <v>196</v>
      </c>
      <c r="CK45" t="s">
        <v>196</v>
      </c>
      <c r="CL45" t="s">
        <v>196</v>
      </c>
      <c r="CM45" t="s">
        <v>196</v>
      </c>
      <c r="CN45" t="s">
        <v>196</v>
      </c>
      <c r="CO45" t="s">
        <v>196</v>
      </c>
      <c r="CP45" t="s">
        <v>196</v>
      </c>
      <c r="CQ45" t="s">
        <v>196</v>
      </c>
      <c r="CR45" t="s">
        <v>196</v>
      </c>
      <c r="CS45" t="s">
        <v>196</v>
      </c>
      <c r="CT45" t="s">
        <v>196</v>
      </c>
      <c r="CU45" t="s">
        <v>196</v>
      </c>
      <c r="CV45" t="s">
        <v>196</v>
      </c>
      <c r="CW45" t="s">
        <v>196</v>
      </c>
      <c r="CX45" t="s">
        <v>196</v>
      </c>
      <c r="CY45" t="s">
        <v>196</v>
      </c>
      <c r="CZ45" t="s">
        <v>196</v>
      </c>
      <c r="DA45" t="s">
        <v>196</v>
      </c>
      <c r="DB45" t="s">
        <v>196</v>
      </c>
      <c r="DC45" t="s">
        <v>196</v>
      </c>
      <c r="DD45" t="s">
        <v>196</v>
      </c>
      <c r="DE45" t="s">
        <v>1122</v>
      </c>
      <c r="DF45" t="s">
        <v>1123</v>
      </c>
      <c r="DG45" t="s">
        <v>1124</v>
      </c>
      <c r="DH45" t="s">
        <v>196</v>
      </c>
      <c r="DI45" t="s">
        <v>196</v>
      </c>
      <c r="DJ45" t="s">
        <v>196</v>
      </c>
      <c r="DK45" t="s">
        <v>196</v>
      </c>
      <c r="DL45" t="s">
        <v>196</v>
      </c>
      <c r="DM45" t="s">
        <v>196</v>
      </c>
      <c r="DN45" t="s">
        <v>196</v>
      </c>
      <c r="DO45" t="s">
        <v>196</v>
      </c>
      <c r="DP45" t="s">
        <v>196</v>
      </c>
      <c r="DQ45" t="s">
        <v>196</v>
      </c>
      <c r="DR45" t="s">
        <v>196</v>
      </c>
      <c r="DS45" t="s">
        <v>196</v>
      </c>
      <c r="DT45" t="s">
        <v>196</v>
      </c>
      <c r="DU45" t="s">
        <v>196</v>
      </c>
      <c r="DV45" t="s">
        <v>196</v>
      </c>
      <c r="DW45" t="s">
        <v>196</v>
      </c>
      <c r="DX45" t="s">
        <v>196</v>
      </c>
      <c r="DY45" t="s">
        <v>196</v>
      </c>
      <c r="DZ45" t="s">
        <v>196</v>
      </c>
      <c r="EA45" t="s">
        <v>196</v>
      </c>
      <c r="EB45" t="s">
        <v>196</v>
      </c>
      <c r="EC45" t="s">
        <v>196</v>
      </c>
      <c r="ED45" t="s">
        <v>196</v>
      </c>
      <c r="EE45" t="s">
        <v>196</v>
      </c>
      <c r="EF45" t="s">
        <v>1125</v>
      </c>
      <c r="EG45" t="s">
        <v>196</v>
      </c>
      <c r="EH45" t="s">
        <v>196</v>
      </c>
      <c r="EI45" t="s">
        <v>196</v>
      </c>
      <c r="EJ45" t="s">
        <v>196</v>
      </c>
      <c r="EK45" t="s">
        <v>196</v>
      </c>
      <c r="EL45" t="s">
        <v>196</v>
      </c>
      <c r="EM45" t="s">
        <v>196</v>
      </c>
      <c r="EN45" t="s">
        <v>196</v>
      </c>
      <c r="EO45" t="s">
        <v>196</v>
      </c>
      <c r="EP45" t="str">
        <f t="shared" si="1"/>
        <v>Active</v>
      </c>
    </row>
    <row r="46" spans="1:146">
      <c r="A46" t="s">
        <v>3</v>
      </c>
      <c r="B46" t="s">
        <v>835</v>
      </c>
      <c r="C46" t="s">
        <v>19</v>
      </c>
      <c r="D46" t="s">
        <v>172</v>
      </c>
      <c r="E46" t="s">
        <v>6</v>
      </c>
      <c r="F46" t="s">
        <v>534</v>
      </c>
      <c r="G46" t="s">
        <v>535</v>
      </c>
      <c r="H46" t="s">
        <v>535</v>
      </c>
      <c r="I46" t="s">
        <v>244</v>
      </c>
      <c r="J46" t="s">
        <v>536</v>
      </c>
      <c r="K46" t="s">
        <v>212</v>
      </c>
      <c r="L46" t="s">
        <v>262</v>
      </c>
      <c r="M46" t="s">
        <v>535</v>
      </c>
      <c r="N46">
        <v>1808217</v>
      </c>
      <c r="O46">
        <v>1808222</v>
      </c>
      <c r="P46" t="s">
        <v>537</v>
      </c>
      <c r="Q46" t="s">
        <v>538</v>
      </c>
      <c r="R46" t="s">
        <v>539</v>
      </c>
      <c r="S46" t="b">
        <v>1</v>
      </c>
      <c r="T46" t="s">
        <v>540</v>
      </c>
      <c r="U46" s="1" t="s">
        <v>196</v>
      </c>
      <c r="V46" t="s">
        <v>184</v>
      </c>
      <c r="W46">
        <v>90785</v>
      </c>
      <c r="X46" t="s">
        <v>846</v>
      </c>
      <c r="Y46" t="s">
        <v>847</v>
      </c>
      <c r="Z46" t="s">
        <v>196</v>
      </c>
      <c r="AA46" t="s">
        <v>848</v>
      </c>
      <c r="AB46" t="s">
        <v>188</v>
      </c>
      <c r="AC46" t="s">
        <v>189</v>
      </c>
      <c r="AD46" t="s">
        <v>222</v>
      </c>
      <c r="AE46" t="s">
        <v>1126</v>
      </c>
      <c r="AF46" t="s">
        <v>1127</v>
      </c>
      <c r="AG46" t="s">
        <v>1128</v>
      </c>
      <c r="AH46" t="s">
        <v>1129</v>
      </c>
      <c r="AI46">
        <v>20220822</v>
      </c>
      <c r="AJ46">
        <v>20220919</v>
      </c>
      <c r="AK46" t="s">
        <v>196</v>
      </c>
      <c r="AL46">
        <v>20220921</v>
      </c>
      <c r="AM46" t="s">
        <v>1130</v>
      </c>
      <c r="AN46" t="s">
        <v>196</v>
      </c>
      <c r="AO46" t="s">
        <v>551</v>
      </c>
      <c r="AP46" t="s">
        <v>196</v>
      </c>
      <c r="AQ46">
        <v>1808224</v>
      </c>
      <c r="AR46" t="s">
        <v>552</v>
      </c>
      <c r="AS46" t="s">
        <v>553</v>
      </c>
      <c r="AT46" t="s">
        <v>554</v>
      </c>
      <c r="AU46" t="s">
        <v>555</v>
      </c>
      <c r="AV46" t="s">
        <v>556</v>
      </c>
      <c r="AW46" t="s">
        <v>557</v>
      </c>
      <c r="AX46" t="s">
        <v>558</v>
      </c>
      <c r="AY46" t="s">
        <v>196</v>
      </c>
      <c r="AZ46" t="s">
        <v>196</v>
      </c>
      <c r="BA46" t="s">
        <v>196</v>
      </c>
      <c r="BB46" t="s">
        <v>196</v>
      </c>
      <c r="BC46" t="s">
        <v>196</v>
      </c>
      <c r="BD46" s="1" t="s">
        <v>196</v>
      </c>
      <c r="BE46" s="1" t="s">
        <v>196</v>
      </c>
      <c r="BF46" t="s">
        <v>196</v>
      </c>
      <c r="BG46" t="s">
        <v>196</v>
      </c>
      <c r="BH46" t="s">
        <v>196</v>
      </c>
      <c r="BI46" t="s">
        <v>196</v>
      </c>
      <c r="BJ46" t="s">
        <v>196</v>
      </c>
      <c r="BK46" t="s">
        <v>196</v>
      </c>
      <c r="BL46" t="s">
        <v>196</v>
      </c>
      <c r="BM46" t="s">
        <v>196</v>
      </c>
      <c r="BN46" t="s">
        <v>196</v>
      </c>
      <c r="BO46" t="s">
        <v>196</v>
      </c>
      <c r="BP46" t="s">
        <v>196</v>
      </c>
      <c r="BQ46" t="s">
        <v>559</v>
      </c>
      <c r="BR46" t="s">
        <v>560</v>
      </c>
      <c r="BS46" t="s">
        <v>196</v>
      </c>
      <c r="BT46" t="s">
        <v>561</v>
      </c>
      <c r="BU46" t="s">
        <v>196</v>
      </c>
      <c r="BV46" t="s">
        <v>196</v>
      </c>
      <c r="BW46" t="s">
        <v>196</v>
      </c>
      <c r="BX46" t="s">
        <v>196</v>
      </c>
      <c r="BY46" t="s">
        <v>196</v>
      </c>
      <c r="BZ46" t="s">
        <v>196</v>
      </c>
      <c r="CA46" t="s">
        <v>196</v>
      </c>
      <c r="CB46" t="s">
        <v>196</v>
      </c>
      <c r="CC46" t="s">
        <v>196</v>
      </c>
      <c r="CD46" t="s">
        <v>196</v>
      </c>
      <c r="CE46" t="s">
        <v>196</v>
      </c>
      <c r="CF46" t="s">
        <v>196</v>
      </c>
      <c r="CG46" t="s">
        <v>196</v>
      </c>
      <c r="CH46" t="s">
        <v>196</v>
      </c>
      <c r="CI46" t="s">
        <v>196</v>
      </c>
      <c r="CJ46" t="s">
        <v>196</v>
      </c>
      <c r="CK46" t="s">
        <v>196</v>
      </c>
      <c r="CL46" t="s">
        <v>196</v>
      </c>
      <c r="CM46" t="s">
        <v>196</v>
      </c>
      <c r="CN46" t="s">
        <v>196</v>
      </c>
      <c r="CO46" s="1" t="s">
        <v>196</v>
      </c>
      <c r="CP46" s="1" t="s">
        <v>196</v>
      </c>
      <c r="CQ46" t="s">
        <v>196</v>
      </c>
      <c r="CR46" t="s">
        <v>196</v>
      </c>
      <c r="CS46" t="s">
        <v>196</v>
      </c>
      <c r="CT46" t="s">
        <v>196</v>
      </c>
      <c r="CU46" t="s">
        <v>196</v>
      </c>
      <c r="CV46" t="s">
        <v>196</v>
      </c>
      <c r="CW46" t="s">
        <v>196</v>
      </c>
      <c r="CX46" t="s">
        <v>196</v>
      </c>
      <c r="CY46" t="s">
        <v>196</v>
      </c>
      <c r="CZ46" t="s">
        <v>196</v>
      </c>
      <c r="DA46" t="s">
        <v>562</v>
      </c>
      <c r="DB46" t="s">
        <v>196</v>
      </c>
      <c r="DC46" t="s">
        <v>196</v>
      </c>
      <c r="DD46" t="s">
        <v>196</v>
      </c>
      <c r="DE46" t="s">
        <v>196</v>
      </c>
      <c r="DF46" t="s">
        <v>196</v>
      </c>
      <c r="DG46" t="s">
        <v>196</v>
      </c>
      <c r="DH46" t="s">
        <v>196</v>
      </c>
      <c r="DI46" t="s">
        <v>196</v>
      </c>
      <c r="DJ46" t="s">
        <v>196</v>
      </c>
      <c r="DK46" t="s">
        <v>196</v>
      </c>
      <c r="DL46" t="s">
        <v>196</v>
      </c>
      <c r="DM46" t="s">
        <v>196</v>
      </c>
      <c r="DN46" t="s">
        <v>196</v>
      </c>
      <c r="DO46" t="s">
        <v>196</v>
      </c>
      <c r="DP46" t="s">
        <v>196</v>
      </c>
      <c r="DQ46" t="s">
        <v>196</v>
      </c>
      <c r="DR46" t="s">
        <v>196</v>
      </c>
      <c r="DS46" t="s">
        <v>196</v>
      </c>
      <c r="DT46" t="s">
        <v>196</v>
      </c>
      <c r="DU46" t="s">
        <v>196</v>
      </c>
      <c r="DV46" t="s">
        <v>196</v>
      </c>
      <c r="DW46" t="s">
        <v>196</v>
      </c>
      <c r="DX46" t="s">
        <v>196</v>
      </c>
      <c r="DY46" t="s">
        <v>196</v>
      </c>
      <c r="DZ46" t="s">
        <v>196</v>
      </c>
      <c r="EA46" t="s">
        <v>196</v>
      </c>
      <c r="EB46" t="s">
        <v>196</v>
      </c>
      <c r="EC46" t="s">
        <v>196</v>
      </c>
      <c r="ED46" t="s">
        <v>196</v>
      </c>
      <c r="EE46" t="s">
        <v>196</v>
      </c>
      <c r="EF46" t="s">
        <v>196</v>
      </c>
      <c r="EG46" t="s">
        <v>196</v>
      </c>
      <c r="EH46" t="s">
        <v>196</v>
      </c>
      <c r="EI46" t="s">
        <v>196</v>
      </c>
      <c r="EJ46" t="s">
        <v>196</v>
      </c>
      <c r="EK46" t="s">
        <v>196</v>
      </c>
      <c r="EL46" t="s">
        <v>196</v>
      </c>
      <c r="EM46" t="s">
        <v>196</v>
      </c>
      <c r="EN46" t="s">
        <v>196</v>
      </c>
      <c r="EO46" t="s">
        <v>196</v>
      </c>
      <c r="EP46" t="str">
        <f t="shared" si="1"/>
        <v>Active</v>
      </c>
    </row>
    <row r="47" spans="1:146">
      <c r="A47" t="s">
        <v>4</v>
      </c>
      <c r="B47" t="s">
        <v>1131</v>
      </c>
      <c r="C47" t="s">
        <v>18</v>
      </c>
      <c r="D47" t="s">
        <v>172</v>
      </c>
      <c r="E47" t="s">
        <v>7</v>
      </c>
      <c r="F47" t="s">
        <v>1132</v>
      </c>
      <c r="G47" t="s">
        <v>1133</v>
      </c>
      <c r="H47" t="s">
        <v>1133</v>
      </c>
      <c r="I47" t="s">
        <v>1134</v>
      </c>
      <c r="J47" t="s">
        <v>1135</v>
      </c>
      <c r="K47" t="s">
        <v>212</v>
      </c>
      <c r="L47" t="s">
        <v>213</v>
      </c>
      <c r="M47" t="s">
        <v>1136</v>
      </c>
      <c r="N47">
        <v>541363</v>
      </c>
      <c r="O47">
        <v>541878</v>
      </c>
      <c r="P47" t="s">
        <v>1137</v>
      </c>
      <c r="Q47" t="s">
        <v>1138</v>
      </c>
      <c r="R47" t="s">
        <v>1139</v>
      </c>
      <c r="S47" t="b">
        <v>1</v>
      </c>
      <c r="T47" t="s">
        <v>1140</v>
      </c>
      <c r="U47" s="1" t="s">
        <v>196</v>
      </c>
      <c r="V47" t="s">
        <v>184</v>
      </c>
      <c r="W47">
        <v>85712</v>
      </c>
      <c r="X47" t="s">
        <v>1141</v>
      </c>
      <c r="Y47" t="s">
        <v>1142</v>
      </c>
      <c r="Z47" t="s">
        <v>16</v>
      </c>
      <c r="AA47" t="s">
        <v>1143</v>
      </c>
      <c r="AB47" t="s">
        <v>188</v>
      </c>
      <c r="AC47" t="s">
        <v>201</v>
      </c>
      <c r="AD47" t="s">
        <v>1144</v>
      </c>
      <c r="AE47" t="s">
        <v>1145</v>
      </c>
      <c r="AF47" t="s">
        <v>1146</v>
      </c>
      <c r="AG47" t="s">
        <v>1147</v>
      </c>
      <c r="AH47" t="s">
        <v>1148</v>
      </c>
      <c r="AI47">
        <v>20200522</v>
      </c>
      <c r="AJ47">
        <v>20200604</v>
      </c>
      <c r="AK47">
        <v>20210525</v>
      </c>
      <c r="AL47">
        <v>20200610</v>
      </c>
      <c r="AM47" t="s">
        <v>1149</v>
      </c>
      <c r="AN47" t="s">
        <v>196</v>
      </c>
      <c r="AO47" t="s">
        <v>1150</v>
      </c>
      <c r="AP47" t="s">
        <v>1151</v>
      </c>
      <c r="AQ47">
        <v>541892</v>
      </c>
      <c r="AR47" t="s">
        <v>1152</v>
      </c>
      <c r="AS47" t="s">
        <v>1153</v>
      </c>
      <c r="AT47" t="s">
        <v>1154</v>
      </c>
      <c r="AU47" t="s">
        <v>1155</v>
      </c>
      <c r="AV47" t="s">
        <v>1156</v>
      </c>
      <c r="AW47" t="s">
        <v>1157</v>
      </c>
      <c r="AX47" t="s">
        <v>196</v>
      </c>
      <c r="AY47" t="s">
        <v>196</v>
      </c>
      <c r="AZ47" t="s">
        <v>196</v>
      </c>
      <c r="BA47" t="s">
        <v>196</v>
      </c>
      <c r="BB47" t="s">
        <v>196</v>
      </c>
      <c r="BC47" t="s">
        <v>196</v>
      </c>
      <c r="BD47" s="1" t="s">
        <v>196</v>
      </c>
      <c r="BE47" t="s">
        <v>196</v>
      </c>
      <c r="BF47" t="s">
        <v>1158</v>
      </c>
      <c r="BG47" t="s">
        <v>1159</v>
      </c>
      <c r="BH47" t="s">
        <v>196</v>
      </c>
      <c r="BI47" t="s">
        <v>196</v>
      </c>
      <c r="BJ47" t="s">
        <v>196</v>
      </c>
      <c r="BK47" t="s">
        <v>196</v>
      </c>
      <c r="BL47" t="s">
        <v>196</v>
      </c>
      <c r="BM47" t="s">
        <v>196</v>
      </c>
      <c r="BN47" t="s">
        <v>196</v>
      </c>
      <c r="BO47" t="s">
        <v>196</v>
      </c>
      <c r="BP47">
        <v>577957</v>
      </c>
      <c r="BQ47" t="s">
        <v>196</v>
      </c>
      <c r="BR47" t="s">
        <v>196</v>
      </c>
      <c r="BS47" t="s">
        <v>196</v>
      </c>
      <c r="BT47" t="s">
        <v>196</v>
      </c>
      <c r="BU47" t="s">
        <v>1160</v>
      </c>
      <c r="BV47" t="s">
        <v>1161</v>
      </c>
      <c r="BW47" t="s">
        <v>196</v>
      </c>
      <c r="BX47" t="s">
        <v>196</v>
      </c>
      <c r="BY47" t="s">
        <v>196</v>
      </c>
      <c r="BZ47" t="s">
        <v>196</v>
      </c>
      <c r="CA47" t="s">
        <v>196</v>
      </c>
      <c r="CB47">
        <v>577961</v>
      </c>
      <c r="CC47">
        <v>687043</v>
      </c>
      <c r="CD47">
        <v>1009145</v>
      </c>
      <c r="CE47" t="s">
        <v>196</v>
      </c>
      <c r="CF47" t="s">
        <v>196</v>
      </c>
      <c r="CG47" t="s">
        <v>196</v>
      </c>
      <c r="CH47" t="s">
        <v>196</v>
      </c>
      <c r="CI47" t="s">
        <v>196</v>
      </c>
      <c r="CJ47" t="s">
        <v>196</v>
      </c>
      <c r="CK47" t="s">
        <v>196</v>
      </c>
      <c r="CL47" t="s">
        <v>196</v>
      </c>
      <c r="CM47" t="s">
        <v>196</v>
      </c>
      <c r="CN47" t="s">
        <v>196</v>
      </c>
      <c r="CO47" t="s">
        <v>196</v>
      </c>
      <c r="CP47" t="s">
        <v>196</v>
      </c>
      <c r="CQ47" t="s">
        <v>196</v>
      </c>
      <c r="CR47" t="s">
        <v>196</v>
      </c>
      <c r="CS47" t="s">
        <v>196</v>
      </c>
      <c r="CT47" t="s">
        <v>196</v>
      </c>
      <c r="CU47" t="s">
        <v>196</v>
      </c>
      <c r="CV47" t="s">
        <v>196</v>
      </c>
      <c r="CW47" t="s">
        <v>1162</v>
      </c>
      <c r="CX47" t="s">
        <v>1163</v>
      </c>
      <c r="CY47" t="s">
        <v>196</v>
      </c>
      <c r="CZ47" t="s">
        <v>196</v>
      </c>
      <c r="DA47" t="s">
        <v>196</v>
      </c>
      <c r="DB47" t="s">
        <v>196</v>
      </c>
      <c r="DC47" t="s">
        <v>1164</v>
      </c>
      <c r="DD47" t="s">
        <v>1165</v>
      </c>
      <c r="DE47" t="s">
        <v>196</v>
      </c>
      <c r="DF47" t="s">
        <v>196</v>
      </c>
      <c r="DG47" t="s">
        <v>196</v>
      </c>
      <c r="DH47" t="s">
        <v>196</v>
      </c>
      <c r="DI47" t="s">
        <v>196</v>
      </c>
      <c r="DJ47" t="s">
        <v>196</v>
      </c>
      <c r="DK47" t="s">
        <v>196</v>
      </c>
      <c r="DL47" t="s">
        <v>196</v>
      </c>
      <c r="DM47" t="s">
        <v>196</v>
      </c>
      <c r="DN47" t="s">
        <v>196</v>
      </c>
      <c r="DO47" t="s">
        <v>196</v>
      </c>
      <c r="DP47" t="s">
        <v>196</v>
      </c>
      <c r="DQ47" t="s">
        <v>196</v>
      </c>
      <c r="DR47" t="s">
        <v>196</v>
      </c>
      <c r="DS47" t="s">
        <v>196</v>
      </c>
      <c r="DT47" t="s">
        <v>196</v>
      </c>
      <c r="DU47" t="s">
        <v>196</v>
      </c>
      <c r="DV47" t="s">
        <v>196</v>
      </c>
      <c r="DW47" t="s">
        <v>196</v>
      </c>
      <c r="DX47" t="s">
        <v>196</v>
      </c>
      <c r="DY47" t="s">
        <v>196</v>
      </c>
      <c r="DZ47" t="s">
        <v>196</v>
      </c>
      <c r="EA47" t="s">
        <v>196</v>
      </c>
      <c r="EB47" t="s">
        <v>196</v>
      </c>
      <c r="EC47" t="s">
        <v>196</v>
      </c>
      <c r="ED47" t="s">
        <v>196</v>
      </c>
      <c r="EE47" t="s">
        <v>196</v>
      </c>
      <c r="EF47" t="s">
        <v>196</v>
      </c>
      <c r="EG47" t="s">
        <v>196</v>
      </c>
      <c r="EH47" t="s">
        <v>196</v>
      </c>
      <c r="EI47" t="s">
        <v>1166</v>
      </c>
      <c r="EJ47" t="s">
        <v>1167</v>
      </c>
      <c r="EK47" t="s">
        <v>196</v>
      </c>
      <c r="EL47" t="s">
        <v>196</v>
      </c>
      <c r="EM47" t="s">
        <v>196</v>
      </c>
      <c r="EN47" t="s">
        <v>196</v>
      </c>
      <c r="EO47" t="s">
        <v>196</v>
      </c>
      <c r="EP47" t="str">
        <f t="shared" si="1"/>
        <v>Inactive</v>
      </c>
    </row>
    <row r="48" spans="1:146">
      <c r="A48" t="s">
        <v>4</v>
      </c>
      <c r="B48" t="s">
        <v>1131</v>
      </c>
      <c r="C48" t="s">
        <v>18</v>
      </c>
      <c r="D48" t="s">
        <v>172</v>
      </c>
      <c r="E48" t="s">
        <v>7</v>
      </c>
      <c r="F48" t="s">
        <v>1132</v>
      </c>
      <c r="G48" t="s">
        <v>1133</v>
      </c>
      <c r="H48" t="s">
        <v>1133</v>
      </c>
      <c r="I48" t="s">
        <v>1134</v>
      </c>
      <c r="J48" t="s">
        <v>1135</v>
      </c>
      <c r="K48" t="s">
        <v>212</v>
      </c>
      <c r="L48" t="s">
        <v>213</v>
      </c>
      <c r="M48" t="s">
        <v>1136</v>
      </c>
      <c r="N48">
        <v>541363</v>
      </c>
      <c r="O48">
        <v>541878</v>
      </c>
      <c r="P48" t="s">
        <v>1137</v>
      </c>
      <c r="Q48" t="s">
        <v>1138</v>
      </c>
      <c r="R48" t="s">
        <v>1139</v>
      </c>
      <c r="S48" t="b">
        <v>1</v>
      </c>
      <c r="T48" t="s">
        <v>1140</v>
      </c>
      <c r="U48" s="1" t="s">
        <v>196</v>
      </c>
      <c r="V48" t="s">
        <v>184</v>
      </c>
      <c r="W48">
        <v>90803</v>
      </c>
      <c r="X48" t="s">
        <v>1168</v>
      </c>
      <c r="Y48" t="s">
        <v>1169</v>
      </c>
      <c r="Z48" t="s">
        <v>196</v>
      </c>
      <c r="AA48" t="s">
        <v>1143</v>
      </c>
      <c r="AB48" t="s">
        <v>188</v>
      </c>
      <c r="AC48" t="s">
        <v>201</v>
      </c>
      <c r="AD48" t="s">
        <v>1170</v>
      </c>
      <c r="AE48" t="s">
        <v>1171</v>
      </c>
      <c r="AF48" t="s">
        <v>1172</v>
      </c>
      <c r="AG48" t="s">
        <v>1173</v>
      </c>
      <c r="AH48" t="s">
        <v>1174</v>
      </c>
      <c r="AI48">
        <v>20220829</v>
      </c>
      <c r="AJ48">
        <v>20220916</v>
      </c>
      <c r="AK48">
        <v>20230814</v>
      </c>
      <c r="AL48">
        <v>20220921</v>
      </c>
      <c r="AM48" t="s">
        <v>1175</v>
      </c>
      <c r="AN48" t="s">
        <v>196</v>
      </c>
      <c r="AO48" t="s">
        <v>1150</v>
      </c>
      <c r="AP48" t="s">
        <v>1151</v>
      </c>
      <c r="AQ48">
        <v>541892</v>
      </c>
      <c r="AR48" t="s">
        <v>1152</v>
      </c>
      <c r="AS48" t="s">
        <v>1153</v>
      </c>
      <c r="AT48" t="s">
        <v>1154</v>
      </c>
      <c r="AU48" t="s">
        <v>1155</v>
      </c>
      <c r="AV48" t="s">
        <v>1156</v>
      </c>
      <c r="AW48" t="s">
        <v>1157</v>
      </c>
      <c r="AX48" t="s">
        <v>196</v>
      </c>
      <c r="AY48" t="s">
        <v>196</v>
      </c>
      <c r="AZ48" t="s">
        <v>196</v>
      </c>
      <c r="BA48" t="s">
        <v>196</v>
      </c>
      <c r="BB48" t="s">
        <v>196</v>
      </c>
      <c r="BC48" t="s">
        <v>196</v>
      </c>
      <c r="BD48" s="1" t="s">
        <v>196</v>
      </c>
      <c r="BE48" s="1" t="s">
        <v>196</v>
      </c>
      <c r="BF48" t="s">
        <v>1158</v>
      </c>
      <c r="BG48" t="s">
        <v>1159</v>
      </c>
      <c r="BH48" t="s">
        <v>196</v>
      </c>
      <c r="BI48" t="s">
        <v>196</v>
      </c>
      <c r="BJ48" t="s">
        <v>196</v>
      </c>
      <c r="BK48" t="s">
        <v>196</v>
      </c>
      <c r="BL48" t="s">
        <v>196</v>
      </c>
      <c r="BM48" t="s">
        <v>196</v>
      </c>
      <c r="BN48" t="s">
        <v>196</v>
      </c>
      <c r="BO48" t="s">
        <v>196</v>
      </c>
      <c r="BP48">
        <v>577957</v>
      </c>
      <c r="BQ48" t="s">
        <v>196</v>
      </c>
      <c r="BR48" t="s">
        <v>196</v>
      </c>
      <c r="BS48" t="s">
        <v>196</v>
      </c>
      <c r="BT48" t="s">
        <v>196</v>
      </c>
      <c r="BU48" t="s">
        <v>1160</v>
      </c>
      <c r="BV48" t="s">
        <v>1161</v>
      </c>
      <c r="BW48" t="s">
        <v>196</v>
      </c>
      <c r="BX48" t="s">
        <v>196</v>
      </c>
      <c r="BY48" t="s">
        <v>196</v>
      </c>
      <c r="BZ48" t="s">
        <v>196</v>
      </c>
      <c r="CA48" t="s">
        <v>196</v>
      </c>
      <c r="CB48">
        <v>577961</v>
      </c>
      <c r="CC48">
        <v>687043</v>
      </c>
      <c r="CD48">
        <v>1009145</v>
      </c>
      <c r="CE48" t="s">
        <v>196</v>
      </c>
      <c r="CF48" t="s">
        <v>196</v>
      </c>
      <c r="CG48" t="s">
        <v>196</v>
      </c>
      <c r="CH48" t="s">
        <v>196</v>
      </c>
      <c r="CI48" t="s">
        <v>196</v>
      </c>
      <c r="CJ48" t="s">
        <v>196</v>
      </c>
      <c r="CK48" t="s">
        <v>196</v>
      </c>
      <c r="CL48" t="s">
        <v>196</v>
      </c>
      <c r="CM48" t="s">
        <v>196</v>
      </c>
      <c r="CN48" t="s">
        <v>196</v>
      </c>
      <c r="CO48" s="1" t="s">
        <v>196</v>
      </c>
      <c r="CP48" s="1" t="s">
        <v>196</v>
      </c>
      <c r="CQ48" t="s">
        <v>196</v>
      </c>
      <c r="CR48" t="s">
        <v>196</v>
      </c>
      <c r="CS48" t="s">
        <v>196</v>
      </c>
      <c r="CT48" t="s">
        <v>196</v>
      </c>
      <c r="CU48" t="s">
        <v>196</v>
      </c>
      <c r="CV48" t="s">
        <v>196</v>
      </c>
      <c r="CW48" t="s">
        <v>1162</v>
      </c>
      <c r="CX48" t="s">
        <v>1163</v>
      </c>
      <c r="CY48" t="s">
        <v>196</v>
      </c>
      <c r="CZ48" t="s">
        <v>196</v>
      </c>
      <c r="DA48" t="s">
        <v>196</v>
      </c>
      <c r="DB48" t="s">
        <v>196</v>
      </c>
      <c r="DC48" t="s">
        <v>1164</v>
      </c>
      <c r="DD48" t="s">
        <v>1165</v>
      </c>
      <c r="DE48" t="s">
        <v>196</v>
      </c>
      <c r="DF48" t="s">
        <v>196</v>
      </c>
      <c r="DG48" t="s">
        <v>196</v>
      </c>
      <c r="DH48" t="s">
        <v>196</v>
      </c>
      <c r="DI48" t="s">
        <v>196</v>
      </c>
      <c r="DJ48" t="s">
        <v>196</v>
      </c>
      <c r="DK48" t="s">
        <v>196</v>
      </c>
      <c r="DL48" t="s">
        <v>196</v>
      </c>
      <c r="DM48" t="s">
        <v>196</v>
      </c>
      <c r="DN48" t="s">
        <v>196</v>
      </c>
      <c r="DO48" t="s">
        <v>196</v>
      </c>
      <c r="DP48" t="s">
        <v>196</v>
      </c>
      <c r="DQ48" t="s">
        <v>196</v>
      </c>
      <c r="DR48" t="s">
        <v>196</v>
      </c>
      <c r="DS48" t="s">
        <v>196</v>
      </c>
      <c r="DT48" t="s">
        <v>196</v>
      </c>
      <c r="DU48" t="s">
        <v>196</v>
      </c>
      <c r="DV48" t="s">
        <v>196</v>
      </c>
      <c r="DW48" t="s">
        <v>196</v>
      </c>
      <c r="DX48" t="s">
        <v>196</v>
      </c>
      <c r="DY48" t="s">
        <v>196</v>
      </c>
      <c r="DZ48" t="s">
        <v>196</v>
      </c>
      <c r="EA48" t="s">
        <v>196</v>
      </c>
      <c r="EB48" t="s">
        <v>196</v>
      </c>
      <c r="EC48" t="s">
        <v>196</v>
      </c>
      <c r="ED48" t="s">
        <v>196</v>
      </c>
      <c r="EE48" t="s">
        <v>196</v>
      </c>
      <c r="EF48" t="s">
        <v>196</v>
      </c>
      <c r="EG48" t="s">
        <v>196</v>
      </c>
      <c r="EH48" t="s">
        <v>196</v>
      </c>
      <c r="EI48" t="s">
        <v>1166</v>
      </c>
      <c r="EJ48" t="s">
        <v>1167</v>
      </c>
      <c r="EK48" t="s">
        <v>196</v>
      </c>
      <c r="EL48" t="s">
        <v>196</v>
      </c>
      <c r="EM48" t="s">
        <v>196</v>
      </c>
      <c r="EN48" t="s">
        <v>196</v>
      </c>
      <c r="EO48" t="s">
        <v>196</v>
      </c>
      <c r="EP48" t="str">
        <f t="shared" si="1"/>
        <v>Inactive</v>
      </c>
    </row>
    <row r="49" spans="1:146">
      <c r="A49" t="s">
        <v>4</v>
      </c>
      <c r="B49" t="s">
        <v>1131</v>
      </c>
      <c r="C49" t="s">
        <v>18</v>
      </c>
      <c r="D49" t="s">
        <v>172</v>
      </c>
      <c r="E49" t="s">
        <v>7</v>
      </c>
      <c r="F49" t="s">
        <v>1176</v>
      </c>
      <c r="G49" t="s">
        <v>1177</v>
      </c>
      <c r="H49" t="s">
        <v>1178</v>
      </c>
      <c r="I49" t="s">
        <v>1179</v>
      </c>
      <c r="J49" t="s">
        <v>1180</v>
      </c>
      <c r="K49" t="s">
        <v>212</v>
      </c>
      <c r="L49" t="s">
        <v>879</v>
      </c>
      <c r="M49" t="s">
        <v>880</v>
      </c>
      <c r="N49">
        <v>2395826</v>
      </c>
      <c r="O49">
        <v>2395828</v>
      </c>
      <c r="P49" t="s">
        <v>1181</v>
      </c>
      <c r="Q49" t="s">
        <v>1182</v>
      </c>
      <c r="R49" t="s">
        <v>1183</v>
      </c>
      <c r="S49" t="b">
        <v>1</v>
      </c>
      <c r="T49" t="s">
        <v>884</v>
      </c>
      <c r="U49" s="1">
        <v>359000000000</v>
      </c>
      <c r="V49" t="s">
        <v>184</v>
      </c>
      <c r="W49">
        <v>88738</v>
      </c>
      <c r="X49" t="s">
        <v>1141</v>
      </c>
      <c r="Y49" t="s">
        <v>1142</v>
      </c>
      <c r="Z49" t="s">
        <v>16</v>
      </c>
      <c r="AA49" t="s">
        <v>1143</v>
      </c>
      <c r="AB49" t="s">
        <v>188</v>
      </c>
      <c r="AC49" t="s">
        <v>201</v>
      </c>
      <c r="AD49" t="s">
        <v>222</v>
      </c>
      <c r="AE49" t="s">
        <v>1184</v>
      </c>
      <c r="AF49" t="s">
        <v>1185</v>
      </c>
      <c r="AG49" t="s">
        <v>1186</v>
      </c>
      <c r="AH49" t="s">
        <v>1187</v>
      </c>
      <c r="AI49">
        <v>20210922</v>
      </c>
      <c r="AJ49">
        <v>20211021</v>
      </c>
      <c r="AK49">
        <v>20230216</v>
      </c>
      <c r="AL49">
        <v>20211027</v>
      </c>
      <c r="AM49" t="s">
        <v>1188</v>
      </c>
      <c r="AN49" t="s">
        <v>196</v>
      </c>
      <c r="AO49" t="s">
        <v>1189</v>
      </c>
      <c r="AP49" t="s">
        <v>1190</v>
      </c>
      <c r="AQ49">
        <v>2395829</v>
      </c>
      <c r="AR49" t="s">
        <v>1191</v>
      </c>
      <c r="AS49" t="s">
        <v>1192</v>
      </c>
      <c r="AT49" t="s">
        <v>1193</v>
      </c>
      <c r="AU49" t="s">
        <v>1194</v>
      </c>
      <c r="AV49" t="s">
        <v>1195</v>
      </c>
      <c r="AW49" t="s">
        <v>196</v>
      </c>
      <c r="AX49" t="s">
        <v>196</v>
      </c>
      <c r="AY49" t="s">
        <v>196</v>
      </c>
      <c r="AZ49" t="s">
        <v>196</v>
      </c>
      <c r="BA49" t="s">
        <v>196</v>
      </c>
      <c r="BB49" t="s">
        <v>196</v>
      </c>
      <c r="BC49" t="s">
        <v>196</v>
      </c>
      <c r="BD49" s="1" t="s">
        <v>196</v>
      </c>
      <c r="BE49" t="s">
        <v>196</v>
      </c>
      <c r="BF49" t="s">
        <v>1196</v>
      </c>
      <c r="BG49" t="s">
        <v>1197</v>
      </c>
      <c r="BH49" t="s">
        <v>196</v>
      </c>
      <c r="BI49" t="s">
        <v>196</v>
      </c>
      <c r="BJ49" t="s">
        <v>196</v>
      </c>
      <c r="BK49" t="s">
        <v>196</v>
      </c>
      <c r="BL49" t="s">
        <v>196</v>
      </c>
      <c r="BM49" t="s">
        <v>196</v>
      </c>
      <c r="BN49" t="s">
        <v>196</v>
      </c>
      <c r="BO49" t="s">
        <v>196</v>
      </c>
      <c r="BP49">
        <v>2395831</v>
      </c>
      <c r="BQ49" t="s">
        <v>196</v>
      </c>
      <c r="BR49" t="s">
        <v>196</v>
      </c>
      <c r="BS49" t="s">
        <v>196</v>
      </c>
      <c r="BT49" t="s">
        <v>196</v>
      </c>
      <c r="BU49" t="s">
        <v>1198</v>
      </c>
      <c r="BV49" t="s">
        <v>196</v>
      </c>
      <c r="BW49" t="s">
        <v>196</v>
      </c>
      <c r="BX49" t="s">
        <v>196</v>
      </c>
      <c r="BY49" t="s">
        <v>196</v>
      </c>
      <c r="BZ49" t="s">
        <v>196</v>
      </c>
      <c r="CA49" t="s">
        <v>196</v>
      </c>
      <c r="CB49">
        <v>2395832</v>
      </c>
      <c r="CC49">
        <v>2395834</v>
      </c>
      <c r="CD49" t="s">
        <v>196</v>
      </c>
      <c r="CE49" t="s">
        <v>196</v>
      </c>
      <c r="CF49" t="s">
        <v>196</v>
      </c>
      <c r="CG49" t="s">
        <v>196</v>
      </c>
      <c r="CH49" t="s">
        <v>196</v>
      </c>
      <c r="CI49" t="s">
        <v>196</v>
      </c>
      <c r="CJ49" t="s">
        <v>196</v>
      </c>
      <c r="CK49" t="s">
        <v>196</v>
      </c>
      <c r="CL49" t="s">
        <v>196</v>
      </c>
      <c r="CM49" t="s">
        <v>196</v>
      </c>
      <c r="CN49" t="s">
        <v>196</v>
      </c>
      <c r="CO49" t="s">
        <v>196</v>
      </c>
      <c r="CP49" t="s">
        <v>196</v>
      </c>
      <c r="CQ49" t="s">
        <v>196</v>
      </c>
      <c r="CR49" t="s">
        <v>196</v>
      </c>
      <c r="CS49" t="s">
        <v>196</v>
      </c>
      <c r="CT49" t="s">
        <v>196</v>
      </c>
      <c r="CU49" t="s">
        <v>196</v>
      </c>
      <c r="CV49" t="s">
        <v>196</v>
      </c>
      <c r="CW49" t="s">
        <v>898</v>
      </c>
      <c r="CX49" t="s">
        <v>196</v>
      </c>
      <c r="CY49" t="s">
        <v>196</v>
      </c>
      <c r="CZ49" t="s">
        <v>196</v>
      </c>
      <c r="DA49" t="s">
        <v>196</v>
      </c>
      <c r="DB49" t="s">
        <v>196</v>
      </c>
      <c r="DC49" t="s">
        <v>899</v>
      </c>
      <c r="DD49" t="s">
        <v>196</v>
      </c>
      <c r="DE49" t="s">
        <v>196</v>
      </c>
      <c r="DF49" t="s">
        <v>196</v>
      </c>
      <c r="DG49" t="s">
        <v>196</v>
      </c>
      <c r="DH49" t="s">
        <v>196</v>
      </c>
      <c r="DI49" t="s">
        <v>196</v>
      </c>
      <c r="DJ49" t="s">
        <v>196</v>
      </c>
      <c r="DK49" t="s">
        <v>196</v>
      </c>
      <c r="DL49" t="s">
        <v>196</v>
      </c>
      <c r="DM49" t="s">
        <v>196</v>
      </c>
      <c r="DN49" t="s">
        <v>196</v>
      </c>
      <c r="DO49" t="s">
        <v>196</v>
      </c>
      <c r="DP49" t="s">
        <v>196</v>
      </c>
      <c r="DQ49" t="s">
        <v>196</v>
      </c>
      <c r="DR49" t="s">
        <v>196</v>
      </c>
      <c r="DS49" t="s">
        <v>196</v>
      </c>
      <c r="DT49" t="s">
        <v>196</v>
      </c>
      <c r="DU49" t="s">
        <v>196</v>
      </c>
      <c r="DV49" t="s">
        <v>196</v>
      </c>
      <c r="DW49" t="s">
        <v>196</v>
      </c>
      <c r="DX49" t="s">
        <v>196</v>
      </c>
      <c r="DY49" t="s">
        <v>196</v>
      </c>
      <c r="DZ49" t="s">
        <v>196</v>
      </c>
      <c r="EA49" t="s">
        <v>196</v>
      </c>
      <c r="EB49" t="s">
        <v>196</v>
      </c>
      <c r="EC49" t="s">
        <v>196</v>
      </c>
      <c r="ED49" t="s">
        <v>196</v>
      </c>
      <c r="EE49" t="s">
        <v>196</v>
      </c>
      <c r="EF49" t="s">
        <v>196</v>
      </c>
      <c r="EG49" t="s">
        <v>196</v>
      </c>
      <c r="EH49" t="s">
        <v>196</v>
      </c>
      <c r="EI49" t="s">
        <v>196</v>
      </c>
      <c r="EJ49" t="s">
        <v>196</v>
      </c>
      <c r="EK49" t="s">
        <v>196</v>
      </c>
      <c r="EL49" t="s">
        <v>196</v>
      </c>
      <c r="EM49" t="s">
        <v>196</v>
      </c>
      <c r="EN49" t="s">
        <v>196</v>
      </c>
      <c r="EO49" t="s">
        <v>196</v>
      </c>
      <c r="EP49" t="str">
        <f t="shared" si="1"/>
        <v>Inactive</v>
      </c>
    </row>
    <row r="50" spans="1:146">
      <c r="A50" t="s">
        <v>3</v>
      </c>
      <c r="B50" t="s">
        <v>1199</v>
      </c>
      <c r="C50" t="s">
        <v>10</v>
      </c>
      <c r="D50" t="s">
        <v>172</v>
      </c>
      <c r="E50" t="s">
        <v>7</v>
      </c>
      <c r="F50" t="s">
        <v>196</v>
      </c>
      <c r="G50" t="s">
        <v>196</v>
      </c>
      <c r="H50" t="s">
        <v>196</v>
      </c>
      <c r="I50" t="s">
        <v>196</v>
      </c>
      <c r="J50" t="s">
        <v>196</v>
      </c>
      <c r="K50" t="s">
        <v>196</v>
      </c>
      <c r="L50" t="s">
        <v>196</v>
      </c>
      <c r="M50" t="s">
        <v>196</v>
      </c>
      <c r="N50" t="s">
        <v>196</v>
      </c>
      <c r="O50" t="s">
        <v>196</v>
      </c>
      <c r="P50" t="s">
        <v>196</v>
      </c>
      <c r="Q50" t="s">
        <v>196</v>
      </c>
      <c r="R50" t="s">
        <v>196</v>
      </c>
      <c r="S50" t="s">
        <v>196</v>
      </c>
      <c r="T50" t="s">
        <v>196</v>
      </c>
      <c r="U50" s="1" t="s">
        <v>196</v>
      </c>
      <c r="V50" t="s">
        <v>184</v>
      </c>
      <c r="W50">
        <v>95819</v>
      </c>
      <c r="X50" t="s">
        <v>1200</v>
      </c>
      <c r="Y50" t="s">
        <v>1201</v>
      </c>
      <c r="Z50" t="s">
        <v>196</v>
      </c>
      <c r="AA50" t="s">
        <v>1202</v>
      </c>
      <c r="AB50" t="s">
        <v>188</v>
      </c>
      <c r="AC50" t="s">
        <v>907</v>
      </c>
      <c r="AD50" t="s">
        <v>10</v>
      </c>
      <c r="AE50" t="s">
        <v>1203</v>
      </c>
      <c r="AF50" t="s">
        <v>1204</v>
      </c>
      <c r="AG50" t="s">
        <v>1205</v>
      </c>
      <c r="AH50" t="s">
        <v>1206</v>
      </c>
      <c r="AI50">
        <v>20241122</v>
      </c>
      <c r="AJ50">
        <v>20241205</v>
      </c>
      <c r="AK50" t="s">
        <v>196</v>
      </c>
      <c r="AL50">
        <v>20241211</v>
      </c>
      <c r="AM50" t="s">
        <v>1207</v>
      </c>
      <c r="AN50" t="s">
        <v>196</v>
      </c>
      <c r="AO50" t="s">
        <v>196</v>
      </c>
      <c r="AP50" t="s">
        <v>196</v>
      </c>
      <c r="AQ50" t="s">
        <v>196</v>
      </c>
      <c r="AR50" t="s">
        <v>196</v>
      </c>
      <c r="AS50" t="s">
        <v>196</v>
      </c>
      <c r="AT50" t="s">
        <v>196</v>
      </c>
      <c r="AU50" t="s">
        <v>196</v>
      </c>
      <c r="AV50" t="s">
        <v>196</v>
      </c>
      <c r="AW50" t="s">
        <v>196</v>
      </c>
      <c r="AX50" t="s">
        <v>196</v>
      </c>
      <c r="AY50" t="s">
        <v>196</v>
      </c>
      <c r="AZ50" t="s">
        <v>196</v>
      </c>
      <c r="BA50" t="s">
        <v>196</v>
      </c>
      <c r="BB50" t="s">
        <v>196</v>
      </c>
      <c r="BC50" t="s">
        <v>196</v>
      </c>
      <c r="BD50" s="1" t="s">
        <v>196</v>
      </c>
      <c r="BE50" s="1" t="s">
        <v>196</v>
      </c>
      <c r="BF50" t="s">
        <v>196</v>
      </c>
      <c r="BG50" t="s">
        <v>196</v>
      </c>
      <c r="BH50" t="s">
        <v>196</v>
      </c>
      <c r="BI50" t="s">
        <v>196</v>
      </c>
      <c r="BJ50" t="s">
        <v>196</v>
      </c>
      <c r="BK50" t="s">
        <v>196</v>
      </c>
      <c r="BL50" t="s">
        <v>196</v>
      </c>
      <c r="BM50" t="s">
        <v>196</v>
      </c>
      <c r="BN50" t="s">
        <v>196</v>
      </c>
      <c r="BO50" t="s">
        <v>196</v>
      </c>
      <c r="BP50" t="s">
        <v>196</v>
      </c>
      <c r="BQ50" t="s">
        <v>196</v>
      </c>
      <c r="BR50" t="s">
        <v>196</v>
      </c>
      <c r="BS50" t="s">
        <v>196</v>
      </c>
      <c r="BT50" t="s">
        <v>196</v>
      </c>
      <c r="BU50" t="s">
        <v>196</v>
      </c>
      <c r="BV50" t="s">
        <v>196</v>
      </c>
      <c r="BW50" t="s">
        <v>196</v>
      </c>
      <c r="BX50" t="s">
        <v>196</v>
      </c>
      <c r="BY50" t="s">
        <v>196</v>
      </c>
      <c r="BZ50" t="s">
        <v>196</v>
      </c>
      <c r="CA50" t="s">
        <v>196</v>
      </c>
      <c r="CB50" t="s">
        <v>196</v>
      </c>
      <c r="CC50" t="s">
        <v>196</v>
      </c>
      <c r="CD50" t="s">
        <v>196</v>
      </c>
      <c r="CE50" t="s">
        <v>196</v>
      </c>
      <c r="CF50" t="s">
        <v>196</v>
      </c>
      <c r="CG50" t="s">
        <v>196</v>
      </c>
      <c r="CH50" t="s">
        <v>196</v>
      </c>
      <c r="CI50" t="s">
        <v>196</v>
      </c>
      <c r="CJ50" t="s">
        <v>196</v>
      </c>
      <c r="CK50" t="s">
        <v>196</v>
      </c>
      <c r="CL50" t="s">
        <v>196</v>
      </c>
      <c r="CM50" t="s">
        <v>196</v>
      </c>
      <c r="CN50" t="s">
        <v>196</v>
      </c>
      <c r="CO50" s="1" t="s">
        <v>196</v>
      </c>
      <c r="CP50" s="1" t="s">
        <v>196</v>
      </c>
      <c r="CQ50" t="s">
        <v>196</v>
      </c>
      <c r="CR50" t="s">
        <v>196</v>
      </c>
      <c r="CS50" t="s">
        <v>196</v>
      </c>
      <c r="CT50" t="s">
        <v>196</v>
      </c>
      <c r="CU50" t="s">
        <v>196</v>
      </c>
      <c r="CV50" t="s">
        <v>196</v>
      </c>
      <c r="CW50" t="s">
        <v>196</v>
      </c>
      <c r="CX50" t="s">
        <v>196</v>
      </c>
      <c r="CY50" t="s">
        <v>196</v>
      </c>
      <c r="CZ50" t="s">
        <v>196</v>
      </c>
      <c r="DA50" t="s">
        <v>196</v>
      </c>
      <c r="DB50" t="s">
        <v>196</v>
      </c>
      <c r="DC50" t="s">
        <v>196</v>
      </c>
      <c r="DD50" t="s">
        <v>196</v>
      </c>
      <c r="DE50" t="s">
        <v>196</v>
      </c>
      <c r="DF50" t="s">
        <v>196</v>
      </c>
      <c r="DG50" t="s">
        <v>196</v>
      </c>
      <c r="DH50" t="s">
        <v>196</v>
      </c>
      <c r="DI50" t="s">
        <v>196</v>
      </c>
      <c r="DJ50" t="s">
        <v>196</v>
      </c>
      <c r="DK50" t="s">
        <v>196</v>
      </c>
      <c r="DL50" t="s">
        <v>196</v>
      </c>
      <c r="DM50" t="s">
        <v>196</v>
      </c>
      <c r="DN50" t="s">
        <v>196</v>
      </c>
      <c r="DO50" t="s">
        <v>196</v>
      </c>
      <c r="DP50" t="s">
        <v>196</v>
      </c>
      <c r="DQ50" t="s">
        <v>196</v>
      </c>
      <c r="DR50" t="s">
        <v>196</v>
      </c>
      <c r="DS50" t="s">
        <v>196</v>
      </c>
      <c r="DT50" t="s">
        <v>196</v>
      </c>
      <c r="DU50" t="s">
        <v>196</v>
      </c>
      <c r="DV50" t="s">
        <v>196</v>
      </c>
      <c r="DW50" t="s">
        <v>196</v>
      </c>
      <c r="DX50" t="s">
        <v>196</v>
      </c>
      <c r="DY50" t="s">
        <v>196</v>
      </c>
      <c r="DZ50" t="s">
        <v>196</v>
      </c>
      <c r="EA50" t="s">
        <v>196</v>
      </c>
      <c r="EB50" t="s">
        <v>196</v>
      </c>
      <c r="EC50" t="s">
        <v>196</v>
      </c>
      <c r="ED50" t="s">
        <v>196</v>
      </c>
      <c r="EE50" t="s">
        <v>196</v>
      </c>
      <c r="EF50" t="s">
        <v>196</v>
      </c>
      <c r="EG50" t="s">
        <v>196</v>
      </c>
      <c r="EH50" t="s">
        <v>196</v>
      </c>
      <c r="EI50" t="s">
        <v>196</v>
      </c>
      <c r="EJ50" t="s">
        <v>196</v>
      </c>
      <c r="EK50" t="s">
        <v>196</v>
      </c>
      <c r="EL50" t="s">
        <v>196</v>
      </c>
      <c r="EM50" t="s">
        <v>196</v>
      </c>
      <c r="EN50" t="s">
        <v>196</v>
      </c>
      <c r="EO50" t="s">
        <v>196</v>
      </c>
      <c r="EP50" t="str">
        <f t="shared" si="1"/>
        <v>Active</v>
      </c>
    </row>
    <row r="51" spans="1:146">
      <c r="A51" t="s">
        <v>4</v>
      </c>
      <c r="B51" t="s">
        <v>1208</v>
      </c>
      <c r="C51" t="s">
        <v>18</v>
      </c>
      <c r="D51" t="s">
        <v>172</v>
      </c>
      <c r="E51" t="s">
        <v>7</v>
      </c>
      <c r="F51" t="s">
        <v>1209</v>
      </c>
      <c r="G51" t="s">
        <v>1210</v>
      </c>
      <c r="H51" t="s">
        <v>1210</v>
      </c>
      <c r="I51" t="s">
        <v>1211</v>
      </c>
      <c r="J51" t="s">
        <v>1212</v>
      </c>
      <c r="K51" t="s">
        <v>212</v>
      </c>
      <c r="L51" t="s">
        <v>213</v>
      </c>
      <c r="M51" t="s">
        <v>841</v>
      </c>
      <c r="N51">
        <v>979464</v>
      </c>
      <c r="O51">
        <v>979468</v>
      </c>
      <c r="P51" t="s">
        <v>1213</v>
      </c>
      <c r="Q51" t="s">
        <v>1214</v>
      </c>
      <c r="R51" t="s">
        <v>1215</v>
      </c>
      <c r="S51" t="b">
        <v>1</v>
      </c>
      <c r="T51" t="s">
        <v>845</v>
      </c>
      <c r="U51" s="1">
        <v>333000000000</v>
      </c>
      <c r="V51" t="s">
        <v>184</v>
      </c>
      <c r="W51">
        <v>90037</v>
      </c>
      <c r="X51" t="s">
        <v>1216</v>
      </c>
      <c r="Y51" t="s">
        <v>1217</v>
      </c>
      <c r="Z51" t="s">
        <v>16</v>
      </c>
      <c r="AA51" t="s">
        <v>1218</v>
      </c>
      <c r="AB51" t="s">
        <v>188</v>
      </c>
      <c r="AC51" t="s">
        <v>201</v>
      </c>
      <c r="AD51" t="s">
        <v>1219</v>
      </c>
      <c r="AE51" t="s">
        <v>1220</v>
      </c>
      <c r="AF51" t="s">
        <v>1221</v>
      </c>
      <c r="AG51" t="s">
        <v>16</v>
      </c>
      <c r="AH51" t="s">
        <v>1222</v>
      </c>
      <c r="AI51">
        <v>20220415</v>
      </c>
      <c r="AJ51">
        <v>20220503</v>
      </c>
      <c r="AK51">
        <v>20231013</v>
      </c>
      <c r="AL51">
        <v>20220511</v>
      </c>
      <c r="AM51" t="s">
        <v>1223</v>
      </c>
      <c r="AN51" t="s">
        <v>196</v>
      </c>
      <c r="AO51" t="s">
        <v>1224</v>
      </c>
      <c r="AP51" t="s">
        <v>1225</v>
      </c>
      <c r="AQ51">
        <v>979471</v>
      </c>
      <c r="AR51" t="s">
        <v>1226</v>
      </c>
      <c r="AS51" t="s">
        <v>1227</v>
      </c>
      <c r="AT51" t="s">
        <v>1228</v>
      </c>
      <c r="AU51" t="s">
        <v>1229</v>
      </c>
      <c r="AV51" t="s">
        <v>1230</v>
      </c>
      <c r="AW51" t="s">
        <v>1231</v>
      </c>
      <c r="AX51" t="s">
        <v>1232</v>
      </c>
      <c r="AY51" t="s">
        <v>1233</v>
      </c>
      <c r="AZ51" t="s">
        <v>1234</v>
      </c>
      <c r="BA51" t="s">
        <v>1235</v>
      </c>
      <c r="BB51" t="s">
        <v>1236</v>
      </c>
      <c r="BC51" t="s">
        <v>196</v>
      </c>
      <c r="BD51" s="1">
        <v>333000000000</v>
      </c>
      <c r="BE51" s="1">
        <v>333000000000</v>
      </c>
      <c r="BF51" t="s">
        <v>196</v>
      </c>
      <c r="BG51" t="s">
        <v>196</v>
      </c>
      <c r="BH51" t="s">
        <v>196</v>
      </c>
      <c r="BI51" t="s">
        <v>196</v>
      </c>
      <c r="BJ51" t="s">
        <v>196</v>
      </c>
      <c r="BK51" t="s">
        <v>196</v>
      </c>
      <c r="BL51" t="s">
        <v>196</v>
      </c>
      <c r="BM51" t="s">
        <v>196</v>
      </c>
      <c r="BN51" t="s">
        <v>196</v>
      </c>
      <c r="BO51" t="s">
        <v>196</v>
      </c>
      <c r="BP51" t="s">
        <v>196</v>
      </c>
      <c r="BQ51" t="s">
        <v>860</v>
      </c>
      <c r="BR51" t="s">
        <v>861</v>
      </c>
      <c r="BS51" t="s">
        <v>862</v>
      </c>
      <c r="BT51" t="s">
        <v>863</v>
      </c>
      <c r="BU51" t="s">
        <v>196</v>
      </c>
      <c r="BV51" t="s">
        <v>196</v>
      </c>
      <c r="BW51" t="s">
        <v>196</v>
      </c>
      <c r="BX51" t="s">
        <v>196</v>
      </c>
      <c r="BY51" t="s">
        <v>196</v>
      </c>
      <c r="BZ51" t="s">
        <v>196</v>
      </c>
      <c r="CA51" t="s">
        <v>196</v>
      </c>
      <c r="CB51" t="s">
        <v>196</v>
      </c>
      <c r="CC51" t="s">
        <v>196</v>
      </c>
      <c r="CD51" t="s">
        <v>196</v>
      </c>
      <c r="CE51" t="s">
        <v>196</v>
      </c>
      <c r="CF51" t="s">
        <v>196</v>
      </c>
      <c r="CG51" t="s">
        <v>196</v>
      </c>
      <c r="CH51" t="s">
        <v>196</v>
      </c>
      <c r="CI51" t="s">
        <v>196</v>
      </c>
      <c r="CJ51" t="s">
        <v>196</v>
      </c>
      <c r="CK51" t="s">
        <v>196</v>
      </c>
      <c r="CL51" t="s">
        <v>196</v>
      </c>
      <c r="CM51" t="s">
        <v>196</v>
      </c>
      <c r="CN51" s="1">
        <v>333000000000</v>
      </c>
      <c r="CO51" s="1">
        <v>333000000000</v>
      </c>
      <c r="CP51" s="1">
        <v>333000000000</v>
      </c>
      <c r="CQ51" s="1">
        <v>333000000000</v>
      </c>
      <c r="CR51" t="s">
        <v>196</v>
      </c>
      <c r="CS51" t="s">
        <v>196</v>
      </c>
      <c r="CT51" t="s">
        <v>196</v>
      </c>
      <c r="CU51" t="s">
        <v>196</v>
      </c>
      <c r="CV51" t="s">
        <v>196</v>
      </c>
      <c r="CW51" t="s">
        <v>1237</v>
      </c>
      <c r="CX51" t="s">
        <v>196</v>
      </c>
      <c r="CY51" t="s">
        <v>865</v>
      </c>
      <c r="CZ51" t="s">
        <v>196</v>
      </c>
      <c r="DA51" t="s">
        <v>866</v>
      </c>
      <c r="DB51" t="s">
        <v>196</v>
      </c>
      <c r="DC51" t="s">
        <v>1238</v>
      </c>
      <c r="DD51" t="s">
        <v>196</v>
      </c>
      <c r="DE51" t="s">
        <v>196</v>
      </c>
      <c r="DF51" t="s">
        <v>196</v>
      </c>
      <c r="DG51" t="s">
        <v>196</v>
      </c>
      <c r="DH51" t="s">
        <v>196</v>
      </c>
      <c r="DI51" t="s">
        <v>196</v>
      </c>
      <c r="DJ51" t="s">
        <v>196</v>
      </c>
      <c r="DK51" t="s">
        <v>196</v>
      </c>
      <c r="DL51" t="s">
        <v>196</v>
      </c>
      <c r="DM51" t="s">
        <v>196</v>
      </c>
      <c r="DN51" t="s">
        <v>196</v>
      </c>
      <c r="DO51" t="s">
        <v>196</v>
      </c>
      <c r="DP51" t="s">
        <v>196</v>
      </c>
      <c r="DQ51" t="s">
        <v>196</v>
      </c>
      <c r="DR51" t="s">
        <v>196</v>
      </c>
      <c r="DS51" t="s">
        <v>196</v>
      </c>
      <c r="DT51" t="s">
        <v>196</v>
      </c>
      <c r="DU51" t="s">
        <v>196</v>
      </c>
      <c r="DV51" t="s">
        <v>196</v>
      </c>
      <c r="DW51" t="s">
        <v>196</v>
      </c>
      <c r="DX51" t="s">
        <v>196</v>
      </c>
      <c r="DY51" t="s">
        <v>196</v>
      </c>
      <c r="DZ51" t="s">
        <v>196</v>
      </c>
      <c r="EA51" t="s">
        <v>196</v>
      </c>
      <c r="EB51" t="s">
        <v>196</v>
      </c>
      <c r="EC51" t="s">
        <v>196</v>
      </c>
      <c r="ED51" t="s">
        <v>196</v>
      </c>
      <c r="EE51" t="s">
        <v>196</v>
      </c>
      <c r="EF51" t="s">
        <v>196</v>
      </c>
      <c r="EG51" t="s">
        <v>196</v>
      </c>
      <c r="EH51" t="s">
        <v>196</v>
      </c>
      <c r="EI51" t="s">
        <v>196</v>
      </c>
      <c r="EJ51" t="s">
        <v>196</v>
      </c>
      <c r="EK51" t="s">
        <v>196</v>
      </c>
      <c r="EL51" t="s">
        <v>196</v>
      </c>
      <c r="EM51" t="s">
        <v>196</v>
      </c>
      <c r="EN51" t="s">
        <v>196</v>
      </c>
      <c r="EO51" t="s">
        <v>196</v>
      </c>
      <c r="EP51" t="str">
        <f t="shared" si="1"/>
        <v>Inactive</v>
      </c>
    </row>
    <row r="52" spans="1:146">
      <c r="A52" t="s">
        <v>4</v>
      </c>
      <c r="B52" t="s">
        <v>1239</v>
      </c>
      <c r="C52" t="s">
        <v>14</v>
      </c>
      <c r="D52" t="s">
        <v>172</v>
      </c>
      <c r="E52" t="s">
        <v>8</v>
      </c>
      <c r="F52" t="s">
        <v>1240</v>
      </c>
      <c r="G52" t="s">
        <v>1241</v>
      </c>
      <c r="H52" t="s">
        <v>1242</v>
      </c>
      <c r="I52" t="s">
        <v>1243</v>
      </c>
      <c r="J52" t="s">
        <v>1244</v>
      </c>
      <c r="K52" t="s">
        <v>212</v>
      </c>
      <c r="L52" t="s">
        <v>1245</v>
      </c>
      <c r="M52" t="s">
        <v>1246</v>
      </c>
      <c r="N52" t="s">
        <v>196</v>
      </c>
      <c r="O52" t="s">
        <v>196</v>
      </c>
      <c r="P52" t="s">
        <v>1247</v>
      </c>
      <c r="Q52" t="s">
        <v>1248</v>
      </c>
      <c r="R52" t="s">
        <v>1249</v>
      </c>
      <c r="S52" t="b">
        <v>1</v>
      </c>
      <c r="T52" t="s">
        <v>1250</v>
      </c>
      <c r="U52" s="1" t="s">
        <v>196</v>
      </c>
      <c r="V52" t="s">
        <v>184</v>
      </c>
      <c r="W52">
        <v>87907</v>
      </c>
      <c r="X52" t="s">
        <v>363</v>
      </c>
      <c r="Y52" t="s">
        <v>1251</v>
      </c>
      <c r="Z52" t="s">
        <v>16</v>
      </c>
      <c r="AA52" t="s">
        <v>1252</v>
      </c>
      <c r="AB52" t="s">
        <v>188</v>
      </c>
      <c r="AC52" t="s">
        <v>201</v>
      </c>
      <c r="AD52" t="s">
        <v>908</v>
      </c>
      <c r="AE52" t="s">
        <v>1253</v>
      </c>
      <c r="AF52" t="s">
        <v>1254</v>
      </c>
      <c r="AG52" t="s">
        <v>1255</v>
      </c>
      <c r="AH52" t="s">
        <v>1256</v>
      </c>
      <c r="AI52">
        <v>20210428</v>
      </c>
      <c r="AJ52">
        <v>20210609</v>
      </c>
      <c r="AK52">
        <v>20210917</v>
      </c>
      <c r="AL52">
        <v>20210616</v>
      </c>
      <c r="AM52" t="s">
        <v>1257</v>
      </c>
      <c r="AN52" t="s">
        <v>196</v>
      </c>
      <c r="AO52" t="s">
        <v>1258</v>
      </c>
      <c r="AP52" t="s">
        <v>1259</v>
      </c>
      <c r="AQ52" t="s">
        <v>196</v>
      </c>
      <c r="AR52" t="s">
        <v>1260</v>
      </c>
      <c r="AS52" t="s">
        <v>1261</v>
      </c>
      <c r="AT52" t="s">
        <v>1262</v>
      </c>
      <c r="AU52" t="s">
        <v>1263</v>
      </c>
      <c r="AV52" t="s">
        <v>1264</v>
      </c>
      <c r="AW52" t="s">
        <v>1265</v>
      </c>
      <c r="AX52" t="s">
        <v>1266</v>
      </c>
      <c r="AY52" t="s">
        <v>1267</v>
      </c>
      <c r="AZ52" t="s">
        <v>1268</v>
      </c>
      <c r="BA52" t="s">
        <v>1269</v>
      </c>
      <c r="BB52" t="s">
        <v>1270</v>
      </c>
      <c r="BC52" t="s">
        <v>196</v>
      </c>
      <c r="BD52" s="1" t="s">
        <v>196</v>
      </c>
      <c r="BE52" s="1" t="s">
        <v>196</v>
      </c>
      <c r="BF52" t="s">
        <v>196</v>
      </c>
      <c r="BG52" t="s">
        <v>196</v>
      </c>
      <c r="BH52" t="s">
        <v>1271</v>
      </c>
      <c r="BI52" t="s">
        <v>1272</v>
      </c>
      <c r="BJ52" t="s">
        <v>1273</v>
      </c>
      <c r="BK52" t="s">
        <v>1274</v>
      </c>
      <c r="BL52" t="s">
        <v>1275</v>
      </c>
      <c r="BM52" t="s">
        <v>1276</v>
      </c>
      <c r="BN52" t="s">
        <v>1277</v>
      </c>
      <c r="BO52" t="s">
        <v>1278</v>
      </c>
      <c r="BP52" t="s">
        <v>196</v>
      </c>
      <c r="BQ52" t="s">
        <v>196</v>
      </c>
      <c r="BR52" t="s">
        <v>196</v>
      </c>
      <c r="BS52" t="s">
        <v>196</v>
      </c>
      <c r="BT52" t="s">
        <v>196</v>
      </c>
      <c r="BU52" t="s">
        <v>196</v>
      </c>
      <c r="BV52" t="s">
        <v>196</v>
      </c>
      <c r="BW52" t="s">
        <v>196</v>
      </c>
      <c r="BX52" t="s">
        <v>196</v>
      </c>
      <c r="BY52" t="s">
        <v>196</v>
      </c>
      <c r="BZ52" t="s">
        <v>196</v>
      </c>
      <c r="CA52" t="s">
        <v>196</v>
      </c>
      <c r="CB52" t="s">
        <v>196</v>
      </c>
      <c r="CC52" t="s">
        <v>196</v>
      </c>
      <c r="CD52" t="s">
        <v>196</v>
      </c>
      <c r="CE52" t="s">
        <v>196</v>
      </c>
      <c r="CF52" t="s">
        <v>196</v>
      </c>
      <c r="CG52" t="s">
        <v>196</v>
      </c>
      <c r="CH52" t="s">
        <v>196</v>
      </c>
      <c r="CI52" t="s">
        <v>196</v>
      </c>
      <c r="CJ52" t="s">
        <v>1279</v>
      </c>
      <c r="CK52" t="s">
        <v>196</v>
      </c>
      <c r="CL52" t="s">
        <v>196</v>
      </c>
      <c r="CM52" t="s">
        <v>196</v>
      </c>
      <c r="CN52" t="s">
        <v>196</v>
      </c>
      <c r="CO52" s="1" t="s">
        <v>196</v>
      </c>
      <c r="CP52" s="1" t="s">
        <v>196</v>
      </c>
      <c r="CQ52" t="s">
        <v>196</v>
      </c>
      <c r="CR52" t="s">
        <v>196</v>
      </c>
      <c r="CS52" t="s">
        <v>196</v>
      </c>
      <c r="CT52" t="s">
        <v>196</v>
      </c>
      <c r="CU52" t="s">
        <v>196</v>
      </c>
      <c r="CV52" t="s">
        <v>196</v>
      </c>
      <c r="CW52" t="s">
        <v>1280</v>
      </c>
      <c r="CX52" t="s">
        <v>1281</v>
      </c>
      <c r="CY52" t="s">
        <v>196</v>
      </c>
      <c r="CZ52" t="s">
        <v>196</v>
      </c>
      <c r="DA52" t="s">
        <v>196</v>
      </c>
      <c r="DB52" t="s">
        <v>196</v>
      </c>
      <c r="DC52" t="s">
        <v>1282</v>
      </c>
      <c r="DD52" t="s">
        <v>1283</v>
      </c>
      <c r="DE52" t="s">
        <v>196</v>
      </c>
      <c r="DF52" t="s">
        <v>196</v>
      </c>
      <c r="DG52" t="s">
        <v>196</v>
      </c>
      <c r="DH52" t="s">
        <v>196</v>
      </c>
      <c r="DI52" t="s">
        <v>196</v>
      </c>
      <c r="DJ52" t="s">
        <v>196</v>
      </c>
      <c r="DK52" t="s">
        <v>196</v>
      </c>
      <c r="DL52" t="s">
        <v>196</v>
      </c>
      <c r="DM52" t="s">
        <v>196</v>
      </c>
      <c r="DN52" t="s">
        <v>196</v>
      </c>
      <c r="DO52" t="s">
        <v>196</v>
      </c>
      <c r="DP52" t="s">
        <v>196</v>
      </c>
      <c r="DQ52" t="s">
        <v>196</v>
      </c>
      <c r="DR52" t="s">
        <v>196</v>
      </c>
      <c r="DS52" t="s">
        <v>196</v>
      </c>
      <c r="DT52" t="s">
        <v>196</v>
      </c>
      <c r="DU52" t="s">
        <v>196</v>
      </c>
      <c r="DV52" t="s">
        <v>196</v>
      </c>
      <c r="DW52" t="s">
        <v>196</v>
      </c>
      <c r="DX52" t="s">
        <v>196</v>
      </c>
      <c r="DY52" t="s">
        <v>196</v>
      </c>
      <c r="DZ52" t="s">
        <v>196</v>
      </c>
      <c r="EA52" t="s">
        <v>196</v>
      </c>
      <c r="EB52" t="s">
        <v>196</v>
      </c>
      <c r="EC52" t="s">
        <v>196</v>
      </c>
      <c r="ED52" t="s">
        <v>196</v>
      </c>
      <c r="EE52" t="s">
        <v>196</v>
      </c>
      <c r="EF52" t="s">
        <v>196</v>
      </c>
      <c r="EG52" t="s">
        <v>196</v>
      </c>
      <c r="EH52" t="s">
        <v>196</v>
      </c>
      <c r="EI52" t="s">
        <v>1284</v>
      </c>
      <c r="EJ52" t="s">
        <v>1285</v>
      </c>
      <c r="EK52" t="s">
        <v>1286</v>
      </c>
      <c r="EL52" t="s">
        <v>1287</v>
      </c>
      <c r="EM52" t="s">
        <v>196</v>
      </c>
      <c r="EN52" t="s">
        <v>196</v>
      </c>
      <c r="EO52" t="s">
        <v>196</v>
      </c>
      <c r="EP52" t="str">
        <f t="shared" si="1"/>
        <v>Inactive</v>
      </c>
    </row>
    <row r="53" spans="1:146">
      <c r="A53" t="s">
        <v>3</v>
      </c>
      <c r="B53" t="s">
        <v>197</v>
      </c>
      <c r="C53" t="s">
        <v>21</v>
      </c>
      <c r="D53" t="s">
        <v>172</v>
      </c>
      <c r="E53" t="s">
        <v>7</v>
      </c>
      <c r="F53" t="s">
        <v>196</v>
      </c>
      <c r="G53" t="s">
        <v>196</v>
      </c>
      <c r="H53" t="s">
        <v>196</v>
      </c>
      <c r="I53" t="s">
        <v>196</v>
      </c>
      <c r="J53" t="s">
        <v>196</v>
      </c>
      <c r="K53" t="s">
        <v>196</v>
      </c>
      <c r="L53" t="s">
        <v>196</v>
      </c>
      <c r="M53" t="s">
        <v>196</v>
      </c>
      <c r="N53" t="s">
        <v>196</v>
      </c>
      <c r="O53" t="s">
        <v>196</v>
      </c>
      <c r="P53" t="s">
        <v>196</v>
      </c>
      <c r="Q53" t="s">
        <v>196</v>
      </c>
      <c r="R53" t="s">
        <v>196</v>
      </c>
      <c r="S53" t="s">
        <v>196</v>
      </c>
      <c r="T53" t="s">
        <v>196</v>
      </c>
      <c r="U53" s="1" t="s">
        <v>196</v>
      </c>
      <c r="V53" t="s">
        <v>184</v>
      </c>
      <c r="W53">
        <v>95826</v>
      </c>
      <c r="X53" t="s">
        <v>198</v>
      </c>
      <c r="Y53" t="s">
        <v>199</v>
      </c>
      <c r="Z53" t="s">
        <v>196</v>
      </c>
      <c r="AA53" t="s">
        <v>200</v>
      </c>
      <c r="AB53" t="s">
        <v>188</v>
      </c>
      <c r="AC53" t="s">
        <v>201</v>
      </c>
      <c r="AD53" t="s">
        <v>202</v>
      </c>
      <c r="AE53" t="s">
        <v>1288</v>
      </c>
      <c r="AF53" t="s">
        <v>1289</v>
      </c>
      <c r="AG53" t="s">
        <v>196</v>
      </c>
      <c r="AH53" t="s">
        <v>205</v>
      </c>
      <c r="AI53">
        <v>20241106</v>
      </c>
      <c r="AJ53">
        <v>20241202</v>
      </c>
      <c r="AK53" t="s">
        <v>196</v>
      </c>
      <c r="AL53">
        <v>20241211</v>
      </c>
      <c r="AM53" t="s">
        <v>206</v>
      </c>
      <c r="AN53" t="s">
        <v>196</v>
      </c>
      <c r="AO53" t="s">
        <v>196</v>
      </c>
      <c r="AP53" t="s">
        <v>196</v>
      </c>
      <c r="AQ53" t="s">
        <v>196</v>
      </c>
      <c r="AR53" t="s">
        <v>196</v>
      </c>
      <c r="AS53" t="s">
        <v>196</v>
      </c>
      <c r="AT53" t="s">
        <v>196</v>
      </c>
      <c r="AU53" t="s">
        <v>196</v>
      </c>
      <c r="AV53" t="s">
        <v>196</v>
      </c>
      <c r="AW53" t="s">
        <v>196</v>
      </c>
      <c r="AX53" t="s">
        <v>196</v>
      </c>
      <c r="AY53" t="s">
        <v>196</v>
      </c>
      <c r="AZ53" t="s">
        <v>196</v>
      </c>
      <c r="BA53" t="s">
        <v>196</v>
      </c>
      <c r="BB53" t="s">
        <v>196</v>
      </c>
      <c r="BC53" t="s">
        <v>196</v>
      </c>
      <c r="BD53" s="1" t="s">
        <v>196</v>
      </c>
      <c r="BE53" s="1" t="s">
        <v>196</v>
      </c>
      <c r="BF53" t="s">
        <v>196</v>
      </c>
      <c r="BG53" t="s">
        <v>196</v>
      </c>
      <c r="BH53" t="s">
        <v>196</v>
      </c>
      <c r="BI53" t="s">
        <v>196</v>
      </c>
      <c r="BJ53" t="s">
        <v>196</v>
      </c>
      <c r="BK53" t="s">
        <v>196</v>
      </c>
      <c r="BL53" t="s">
        <v>196</v>
      </c>
      <c r="BM53" t="s">
        <v>196</v>
      </c>
      <c r="BN53" t="s">
        <v>196</v>
      </c>
      <c r="BO53" t="s">
        <v>196</v>
      </c>
      <c r="BP53" t="s">
        <v>196</v>
      </c>
      <c r="BQ53" t="s">
        <v>196</v>
      </c>
      <c r="BR53" t="s">
        <v>196</v>
      </c>
      <c r="BS53" t="s">
        <v>196</v>
      </c>
      <c r="BT53" t="s">
        <v>196</v>
      </c>
      <c r="BU53" t="s">
        <v>196</v>
      </c>
      <c r="BV53" t="s">
        <v>196</v>
      </c>
      <c r="BW53" t="s">
        <v>196</v>
      </c>
      <c r="BX53" t="s">
        <v>196</v>
      </c>
      <c r="BY53" t="s">
        <v>196</v>
      </c>
      <c r="BZ53" t="s">
        <v>196</v>
      </c>
      <c r="CA53" t="s">
        <v>196</v>
      </c>
      <c r="CB53" t="s">
        <v>196</v>
      </c>
      <c r="CC53" t="s">
        <v>196</v>
      </c>
      <c r="CD53" t="s">
        <v>196</v>
      </c>
      <c r="CE53" t="s">
        <v>196</v>
      </c>
      <c r="CF53" t="s">
        <v>196</v>
      </c>
      <c r="CG53" t="s">
        <v>196</v>
      </c>
      <c r="CH53" t="s">
        <v>196</v>
      </c>
      <c r="CI53" t="s">
        <v>196</v>
      </c>
      <c r="CJ53" t="s">
        <v>196</v>
      </c>
      <c r="CK53" t="s">
        <v>196</v>
      </c>
      <c r="CL53" t="s">
        <v>196</v>
      </c>
      <c r="CM53" t="s">
        <v>196</v>
      </c>
      <c r="CN53" t="s">
        <v>196</v>
      </c>
      <c r="CO53" s="1" t="s">
        <v>196</v>
      </c>
      <c r="CP53" s="1" t="s">
        <v>196</v>
      </c>
      <c r="CQ53" t="s">
        <v>196</v>
      </c>
      <c r="CR53" t="s">
        <v>196</v>
      </c>
      <c r="CS53" t="s">
        <v>196</v>
      </c>
      <c r="CT53" t="s">
        <v>196</v>
      </c>
      <c r="CU53" t="s">
        <v>196</v>
      </c>
      <c r="CV53" t="s">
        <v>196</v>
      </c>
      <c r="CW53" t="s">
        <v>196</v>
      </c>
      <c r="CX53" t="s">
        <v>196</v>
      </c>
      <c r="CY53" t="s">
        <v>196</v>
      </c>
      <c r="CZ53" t="s">
        <v>196</v>
      </c>
      <c r="DA53" t="s">
        <v>196</v>
      </c>
      <c r="DB53" t="s">
        <v>196</v>
      </c>
      <c r="DC53" t="s">
        <v>196</v>
      </c>
      <c r="DD53" t="s">
        <v>196</v>
      </c>
      <c r="DE53" t="s">
        <v>196</v>
      </c>
      <c r="DF53" t="s">
        <v>196</v>
      </c>
      <c r="DG53" t="s">
        <v>196</v>
      </c>
      <c r="DH53" t="s">
        <v>196</v>
      </c>
      <c r="DI53" t="s">
        <v>196</v>
      </c>
      <c r="DJ53" t="s">
        <v>196</v>
      </c>
      <c r="DK53" t="s">
        <v>196</v>
      </c>
      <c r="DL53" t="s">
        <v>196</v>
      </c>
      <c r="DM53" t="s">
        <v>196</v>
      </c>
      <c r="DN53" t="s">
        <v>196</v>
      </c>
      <c r="DO53" t="s">
        <v>196</v>
      </c>
      <c r="DP53" t="s">
        <v>196</v>
      </c>
      <c r="DQ53" t="s">
        <v>196</v>
      </c>
      <c r="DR53" t="s">
        <v>196</v>
      </c>
      <c r="DS53" t="s">
        <v>196</v>
      </c>
      <c r="DT53" t="s">
        <v>196</v>
      </c>
      <c r="DU53" t="s">
        <v>196</v>
      </c>
      <c r="DV53" t="s">
        <v>196</v>
      </c>
      <c r="DW53" t="s">
        <v>196</v>
      </c>
      <c r="DX53" t="s">
        <v>196</v>
      </c>
      <c r="DY53" t="s">
        <v>196</v>
      </c>
      <c r="DZ53" t="s">
        <v>196</v>
      </c>
      <c r="EA53" t="s">
        <v>196</v>
      </c>
      <c r="EB53" t="s">
        <v>196</v>
      </c>
      <c r="EC53" t="s">
        <v>196</v>
      </c>
      <c r="ED53" t="s">
        <v>196</v>
      </c>
      <c r="EE53" t="s">
        <v>196</v>
      </c>
      <c r="EF53" t="s">
        <v>196</v>
      </c>
      <c r="EG53" t="s">
        <v>196</v>
      </c>
      <c r="EH53" t="s">
        <v>196</v>
      </c>
      <c r="EI53" t="s">
        <v>196</v>
      </c>
      <c r="EJ53" t="s">
        <v>196</v>
      </c>
      <c r="EK53" t="s">
        <v>196</v>
      </c>
      <c r="EL53" t="s">
        <v>196</v>
      </c>
      <c r="EM53" t="s">
        <v>196</v>
      </c>
      <c r="EN53" t="s">
        <v>196</v>
      </c>
      <c r="EO53" t="s">
        <v>196</v>
      </c>
      <c r="EP53" t="str">
        <f t="shared" si="1"/>
        <v>Active</v>
      </c>
    </row>
    <row r="54" spans="1:146">
      <c r="A54" t="s">
        <v>4</v>
      </c>
      <c r="B54" t="s">
        <v>1290</v>
      </c>
      <c r="C54" t="s">
        <v>22</v>
      </c>
      <c r="D54" t="s">
        <v>172</v>
      </c>
      <c r="E54" t="s">
        <v>7</v>
      </c>
      <c r="F54" t="s">
        <v>1291</v>
      </c>
      <c r="G54" t="s">
        <v>1292</v>
      </c>
      <c r="H54" t="s">
        <v>1293</v>
      </c>
      <c r="I54" t="s">
        <v>1294</v>
      </c>
      <c r="J54" t="s">
        <v>1295</v>
      </c>
      <c r="K54" t="s">
        <v>212</v>
      </c>
      <c r="L54" t="s">
        <v>246</v>
      </c>
      <c r="M54" t="s">
        <v>1293</v>
      </c>
      <c r="N54" t="s">
        <v>196</v>
      </c>
      <c r="O54" t="s">
        <v>196</v>
      </c>
      <c r="P54" t="s">
        <v>1296</v>
      </c>
      <c r="Q54" t="s">
        <v>1297</v>
      </c>
      <c r="R54" t="s">
        <v>1298</v>
      </c>
      <c r="S54" t="b">
        <v>1</v>
      </c>
      <c r="T54" t="s">
        <v>1299</v>
      </c>
      <c r="U54" s="1" t="s">
        <v>196</v>
      </c>
      <c r="V54" t="s">
        <v>184</v>
      </c>
      <c r="W54">
        <v>89646</v>
      </c>
      <c r="X54" t="s">
        <v>1300</v>
      </c>
      <c r="Y54" t="s">
        <v>1301</v>
      </c>
      <c r="Z54" t="s">
        <v>1302</v>
      </c>
      <c r="AA54">
        <v>23233</v>
      </c>
      <c r="AB54" t="s">
        <v>188</v>
      </c>
      <c r="AC54" t="s">
        <v>201</v>
      </c>
      <c r="AD54" t="s">
        <v>1303</v>
      </c>
      <c r="AE54" t="s">
        <v>1304</v>
      </c>
      <c r="AF54" t="s">
        <v>1305</v>
      </c>
      <c r="AG54" t="s">
        <v>1306</v>
      </c>
      <c r="AH54" t="s">
        <v>1307</v>
      </c>
      <c r="AI54">
        <v>20220413</v>
      </c>
      <c r="AJ54">
        <v>20220609</v>
      </c>
      <c r="AK54">
        <v>20231130</v>
      </c>
      <c r="AL54">
        <v>20220615</v>
      </c>
      <c r="AM54" t="s">
        <v>1308</v>
      </c>
      <c r="AN54" t="s">
        <v>196</v>
      </c>
      <c r="AO54" t="s">
        <v>1309</v>
      </c>
      <c r="AP54" t="s">
        <v>196</v>
      </c>
      <c r="AQ54" t="s">
        <v>196</v>
      </c>
      <c r="AR54" t="s">
        <v>1310</v>
      </c>
      <c r="AS54" t="s">
        <v>1311</v>
      </c>
      <c r="AT54" t="s">
        <v>1312</v>
      </c>
      <c r="AU54" t="s">
        <v>1313</v>
      </c>
      <c r="AV54" t="s">
        <v>1314</v>
      </c>
      <c r="AW54" t="s">
        <v>196</v>
      </c>
      <c r="AX54" t="s">
        <v>196</v>
      </c>
      <c r="AY54" t="s">
        <v>196</v>
      </c>
      <c r="AZ54" t="s">
        <v>196</v>
      </c>
      <c r="BA54" t="s">
        <v>196</v>
      </c>
      <c r="BB54" t="s">
        <v>196</v>
      </c>
      <c r="BC54" t="s">
        <v>196</v>
      </c>
      <c r="BD54" s="1" t="s">
        <v>196</v>
      </c>
      <c r="BE54" s="1" t="s">
        <v>196</v>
      </c>
      <c r="BF54" t="s">
        <v>196</v>
      </c>
      <c r="BG54" t="s">
        <v>196</v>
      </c>
      <c r="BH54" t="s">
        <v>196</v>
      </c>
      <c r="BI54" t="s">
        <v>196</v>
      </c>
      <c r="BJ54" t="s">
        <v>196</v>
      </c>
      <c r="BK54" t="s">
        <v>196</v>
      </c>
      <c r="BL54" t="s">
        <v>196</v>
      </c>
      <c r="BM54" t="s">
        <v>196</v>
      </c>
      <c r="BN54" t="s">
        <v>196</v>
      </c>
      <c r="BO54" t="s">
        <v>196</v>
      </c>
      <c r="BP54" t="s">
        <v>196</v>
      </c>
      <c r="BQ54" t="s">
        <v>1315</v>
      </c>
      <c r="BR54" t="s">
        <v>1316</v>
      </c>
      <c r="BS54" t="s">
        <v>1317</v>
      </c>
      <c r="BT54" t="s">
        <v>1318</v>
      </c>
      <c r="BU54" t="s">
        <v>196</v>
      </c>
      <c r="BV54" t="s">
        <v>196</v>
      </c>
      <c r="BW54" t="s">
        <v>196</v>
      </c>
      <c r="BX54" t="s">
        <v>196</v>
      </c>
      <c r="BY54" t="s">
        <v>196</v>
      </c>
      <c r="BZ54" t="s">
        <v>196</v>
      </c>
      <c r="CA54" t="s">
        <v>196</v>
      </c>
      <c r="CB54" t="s">
        <v>196</v>
      </c>
      <c r="CC54" t="s">
        <v>196</v>
      </c>
      <c r="CD54" t="s">
        <v>196</v>
      </c>
      <c r="CE54" t="s">
        <v>196</v>
      </c>
      <c r="CF54" t="s">
        <v>196</v>
      </c>
      <c r="CG54" t="s">
        <v>196</v>
      </c>
      <c r="CH54" t="s">
        <v>196</v>
      </c>
      <c r="CI54" t="s">
        <v>196</v>
      </c>
      <c r="CJ54" t="s">
        <v>196</v>
      </c>
      <c r="CK54" t="s">
        <v>196</v>
      </c>
      <c r="CL54" t="s">
        <v>196</v>
      </c>
      <c r="CM54" t="s">
        <v>196</v>
      </c>
      <c r="CN54" t="s">
        <v>196</v>
      </c>
      <c r="CO54" s="1" t="s">
        <v>196</v>
      </c>
      <c r="CP54" s="1" t="s">
        <v>196</v>
      </c>
      <c r="CQ54" t="s">
        <v>196</v>
      </c>
      <c r="CR54" t="s">
        <v>196</v>
      </c>
      <c r="CS54" t="s">
        <v>196</v>
      </c>
      <c r="CT54" t="s">
        <v>196</v>
      </c>
      <c r="CU54" t="s">
        <v>196</v>
      </c>
      <c r="CV54" t="s">
        <v>196</v>
      </c>
      <c r="CW54" t="s">
        <v>196</v>
      </c>
      <c r="CX54" t="s">
        <v>196</v>
      </c>
      <c r="CY54" t="s">
        <v>1319</v>
      </c>
      <c r="CZ54" t="s">
        <v>1320</v>
      </c>
      <c r="DA54" t="s">
        <v>196</v>
      </c>
      <c r="DB54" t="s">
        <v>196</v>
      </c>
      <c r="DC54" t="s">
        <v>196</v>
      </c>
      <c r="DD54" t="s">
        <v>196</v>
      </c>
      <c r="DE54" t="s">
        <v>196</v>
      </c>
      <c r="DF54" t="s">
        <v>196</v>
      </c>
      <c r="DG54" t="s">
        <v>196</v>
      </c>
      <c r="DH54" t="s">
        <v>196</v>
      </c>
      <c r="DI54" t="s">
        <v>196</v>
      </c>
      <c r="DJ54" t="s">
        <v>196</v>
      </c>
      <c r="DK54" t="s">
        <v>196</v>
      </c>
      <c r="DL54" t="s">
        <v>196</v>
      </c>
      <c r="DM54" t="s">
        <v>196</v>
      </c>
      <c r="DN54" t="s">
        <v>196</v>
      </c>
      <c r="DO54" t="s">
        <v>196</v>
      </c>
      <c r="DP54" t="s">
        <v>196</v>
      </c>
      <c r="DQ54" t="s">
        <v>196</v>
      </c>
      <c r="DR54" t="s">
        <v>196</v>
      </c>
      <c r="DS54" t="s">
        <v>196</v>
      </c>
      <c r="DT54" t="s">
        <v>196</v>
      </c>
      <c r="DU54" t="s">
        <v>196</v>
      </c>
      <c r="DV54" t="s">
        <v>196</v>
      </c>
      <c r="DW54" t="s">
        <v>196</v>
      </c>
      <c r="DX54" t="s">
        <v>196</v>
      </c>
      <c r="DY54" t="s">
        <v>196</v>
      </c>
      <c r="DZ54" t="s">
        <v>196</v>
      </c>
      <c r="EA54" t="s">
        <v>196</v>
      </c>
      <c r="EB54" t="s">
        <v>1321</v>
      </c>
      <c r="EC54" t="s">
        <v>196</v>
      </c>
      <c r="ED54" t="s">
        <v>196</v>
      </c>
      <c r="EE54" t="s">
        <v>196</v>
      </c>
      <c r="EF54" t="s">
        <v>196</v>
      </c>
      <c r="EG54" t="s">
        <v>1322</v>
      </c>
      <c r="EH54" t="s">
        <v>1323</v>
      </c>
      <c r="EI54" t="s">
        <v>196</v>
      </c>
      <c r="EJ54" t="s">
        <v>196</v>
      </c>
      <c r="EK54" t="s">
        <v>196</v>
      </c>
      <c r="EL54" t="s">
        <v>196</v>
      </c>
      <c r="EM54" t="s">
        <v>1324</v>
      </c>
      <c r="EN54" t="s">
        <v>1325</v>
      </c>
      <c r="EO54" t="s">
        <v>1326</v>
      </c>
      <c r="EP54" t="str">
        <f t="shared" si="1"/>
        <v>Inactive</v>
      </c>
    </row>
    <row r="55" spans="1:146">
      <c r="A55" t="s">
        <v>3</v>
      </c>
      <c r="B55" t="s">
        <v>273</v>
      </c>
      <c r="C55" t="s">
        <v>18</v>
      </c>
      <c r="D55" t="s">
        <v>172</v>
      </c>
      <c r="E55" t="s">
        <v>7</v>
      </c>
      <c r="F55" t="s">
        <v>274</v>
      </c>
      <c r="G55" t="s">
        <v>275</v>
      </c>
      <c r="H55" t="s">
        <v>275</v>
      </c>
      <c r="I55" t="s">
        <v>276</v>
      </c>
      <c r="J55" t="s">
        <v>277</v>
      </c>
      <c r="K55" t="s">
        <v>212</v>
      </c>
      <c r="L55" t="s">
        <v>213</v>
      </c>
      <c r="M55" t="s">
        <v>275</v>
      </c>
      <c r="N55">
        <v>830865</v>
      </c>
      <c r="O55">
        <v>830869</v>
      </c>
      <c r="P55" t="s">
        <v>278</v>
      </c>
      <c r="Q55" t="s">
        <v>279</v>
      </c>
      <c r="R55" t="s">
        <v>280</v>
      </c>
      <c r="S55" t="b">
        <v>1</v>
      </c>
      <c r="T55" t="s">
        <v>281</v>
      </c>
      <c r="U55" s="1">
        <v>368000000000</v>
      </c>
      <c r="V55" t="s">
        <v>184</v>
      </c>
      <c r="W55">
        <v>95660</v>
      </c>
      <c r="X55" t="s">
        <v>282</v>
      </c>
      <c r="Y55" t="s">
        <v>283</v>
      </c>
      <c r="Z55" t="s">
        <v>196</v>
      </c>
      <c r="AA55" t="s">
        <v>284</v>
      </c>
      <c r="AB55" t="s">
        <v>188</v>
      </c>
      <c r="AC55" t="s">
        <v>201</v>
      </c>
      <c r="AD55" t="s">
        <v>202</v>
      </c>
      <c r="AE55" t="s">
        <v>1327</v>
      </c>
      <c r="AF55" t="s">
        <v>1328</v>
      </c>
      <c r="AG55" t="s">
        <v>1329</v>
      </c>
      <c r="AH55" t="s">
        <v>288</v>
      </c>
      <c r="AI55">
        <v>20241101</v>
      </c>
      <c r="AJ55">
        <v>20241203</v>
      </c>
      <c r="AK55" t="s">
        <v>196</v>
      </c>
      <c r="AL55">
        <v>20241211</v>
      </c>
      <c r="AM55" t="s">
        <v>1330</v>
      </c>
      <c r="AN55" t="s">
        <v>196</v>
      </c>
      <c r="AO55" t="s">
        <v>290</v>
      </c>
      <c r="AP55" t="s">
        <v>291</v>
      </c>
      <c r="AQ55">
        <v>830872</v>
      </c>
      <c r="AR55" t="s">
        <v>292</v>
      </c>
      <c r="AS55" t="s">
        <v>293</v>
      </c>
      <c r="AT55" t="s">
        <v>196</v>
      </c>
      <c r="AU55" t="s">
        <v>196</v>
      </c>
      <c r="AV55" t="s">
        <v>196</v>
      </c>
      <c r="AW55" t="s">
        <v>196</v>
      </c>
      <c r="AX55" t="s">
        <v>196</v>
      </c>
      <c r="AY55" t="s">
        <v>196</v>
      </c>
      <c r="AZ55" t="s">
        <v>196</v>
      </c>
      <c r="BA55" t="s">
        <v>196</v>
      </c>
      <c r="BB55" t="s">
        <v>196</v>
      </c>
      <c r="BC55" t="s">
        <v>196</v>
      </c>
      <c r="BD55" s="1">
        <v>368000000000</v>
      </c>
      <c r="BE55" s="1">
        <v>368000000000</v>
      </c>
      <c r="BF55" t="s">
        <v>196</v>
      </c>
      <c r="BG55" t="s">
        <v>196</v>
      </c>
      <c r="BH55" t="s">
        <v>196</v>
      </c>
      <c r="BI55" t="s">
        <v>196</v>
      </c>
      <c r="BJ55" t="s">
        <v>196</v>
      </c>
      <c r="BK55" t="s">
        <v>196</v>
      </c>
      <c r="BL55" t="s">
        <v>196</v>
      </c>
      <c r="BM55" t="s">
        <v>196</v>
      </c>
      <c r="BN55" t="s">
        <v>196</v>
      </c>
      <c r="BO55" t="s">
        <v>196</v>
      </c>
      <c r="BP55" t="s">
        <v>196</v>
      </c>
      <c r="BQ55" t="s">
        <v>196</v>
      </c>
      <c r="BR55" t="s">
        <v>196</v>
      </c>
      <c r="BS55" t="s">
        <v>196</v>
      </c>
      <c r="BT55" t="s">
        <v>196</v>
      </c>
      <c r="BU55" t="s">
        <v>196</v>
      </c>
      <c r="BV55" t="s">
        <v>196</v>
      </c>
      <c r="BW55" t="s">
        <v>196</v>
      </c>
      <c r="BX55" t="s">
        <v>196</v>
      </c>
      <c r="BY55" t="s">
        <v>196</v>
      </c>
      <c r="BZ55" t="s">
        <v>196</v>
      </c>
      <c r="CA55" t="s">
        <v>196</v>
      </c>
      <c r="CB55" t="s">
        <v>196</v>
      </c>
      <c r="CC55" t="s">
        <v>196</v>
      </c>
      <c r="CD55" t="s">
        <v>196</v>
      </c>
      <c r="CE55" t="s">
        <v>196</v>
      </c>
      <c r="CF55" t="s">
        <v>196</v>
      </c>
      <c r="CG55" t="s">
        <v>196</v>
      </c>
      <c r="CH55" t="s">
        <v>196</v>
      </c>
      <c r="CI55" t="s">
        <v>196</v>
      </c>
      <c r="CJ55" t="s">
        <v>196</v>
      </c>
      <c r="CK55" t="s">
        <v>196</v>
      </c>
      <c r="CL55" t="s">
        <v>196</v>
      </c>
      <c r="CM55" t="s">
        <v>196</v>
      </c>
      <c r="CN55" t="s">
        <v>196</v>
      </c>
      <c r="CO55" s="1" t="s">
        <v>196</v>
      </c>
      <c r="CP55" s="1" t="s">
        <v>196</v>
      </c>
      <c r="CQ55" t="s">
        <v>196</v>
      </c>
      <c r="CR55" t="s">
        <v>196</v>
      </c>
      <c r="CS55" t="s">
        <v>196</v>
      </c>
      <c r="CT55" t="s">
        <v>196</v>
      </c>
      <c r="CU55" t="s">
        <v>196</v>
      </c>
      <c r="CV55" t="s">
        <v>196</v>
      </c>
      <c r="CW55" t="s">
        <v>196</v>
      </c>
      <c r="CX55" t="s">
        <v>196</v>
      </c>
      <c r="CY55" t="s">
        <v>196</v>
      </c>
      <c r="CZ55" t="s">
        <v>196</v>
      </c>
      <c r="DA55" t="s">
        <v>196</v>
      </c>
      <c r="DB55" t="s">
        <v>196</v>
      </c>
      <c r="DC55" t="s">
        <v>196</v>
      </c>
      <c r="DD55" t="s">
        <v>196</v>
      </c>
      <c r="DE55" t="s">
        <v>196</v>
      </c>
      <c r="DF55" t="s">
        <v>196</v>
      </c>
      <c r="DG55" t="s">
        <v>196</v>
      </c>
      <c r="DH55" t="s">
        <v>196</v>
      </c>
      <c r="DI55" t="s">
        <v>196</v>
      </c>
      <c r="DJ55" t="s">
        <v>196</v>
      </c>
      <c r="DK55" t="s">
        <v>196</v>
      </c>
      <c r="DL55" t="s">
        <v>196</v>
      </c>
      <c r="DM55" t="s">
        <v>196</v>
      </c>
      <c r="DN55" t="s">
        <v>196</v>
      </c>
      <c r="DO55" t="s">
        <v>196</v>
      </c>
      <c r="DP55" t="s">
        <v>196</v>
      </c>
      <c r="DQ55" t="s">
        <v>196</v>
      </c>
      <c r="DR55" t="s">
        <v>196</v>
      </c>
      <c r="DS55" t="s">
        <v>196</v>
      </c>
      <c r="DT55" t="s">
        <v>196</v>
      </c>
      <c r="DU55" t="s">
        <v>196</v>
      </c>
      <c r="DV55" t="s">
        <v>196</v>
      </c>
      <c r="DW55" t="s">
        <v>196</v>
      </c>
      <c r="DX55" t="s">
        <v>196</v>
      </c>
      <c r="DY55" t="s">
        <v>196</v>
      </c>
      <c r="DZ55" t="s">
        <v>196</v>
      </c>
      <c r="EA55" t="s">
        <v>196</v>
      </c>
      <c r="EB55" t="s">
        <v>196</v>
      </c>
      <c r="EC55" t="s">
        <v>196</v>
      </c>
      <c r="ED55" t="s">
        <v>196</v>
      </c>
      <c r="EE55" t="s">
        <v>196</v>
      </c>
      <c r="EF55" t="s">
        <v>196</v>
      </c>
      <c r="EG55" t="s">
        <v>196</v>
      </c>
      <c r="EH55" t="s">
        <v>196</v>
      </c>
      <c r="EI55" t="s">
        <v>196</v>
      </c>
      <c r="EJ55" t="s">
        <v>196</v>
      </c>
      <c r="EK55" t="s">
        <v>196</v>
      </c>
      <c r="EL55" t="s">
        <v>196</v>
      </c>
      <c r="EM55" t="s">
        <v>196</v>
      </c>
      <c r="EN55" t="s">
        <v>196</v>
      </c>
      <c r="EO55" t="s">
        <v>196</v>
      </c>
      <c r="EP55" t="str">
        <f t="shared" si="1"/>
        <v>Active</v>
      </c>
    </row>
    <row r="56" spans="1:146">
      <c r="A56" t="s">
        <v>4</v>
      </c>
      <c r="B56" t="s">
        <v>1331</v>
      </c>
      <c r="C56" t="s">
        <v>20</v>
      </c>
      <c r="D56" t="s">
        <v>172</v>
      </c>
      <c r="E56" t="s">
        <v>7</v>
      </c>
      <c r="F56" t="s">
        <v>1332</v>
      </c>
      <c r="G56" t="s">
        <v>1333</v>
      </c>
      <c r="H56" t="s">
        <v>1333</v>
      </c>
      <c r="I56" t="s">
        <v>1334</v>
      </c>
      <c r="J56" t="s">
        <v>1335</v>
      </c>
      <c r="K56" t="s">
        <v>212</v>
      </c>
      <c r="L56" t="s">
        <v>213</v>
      </c>
      <c r="M56" t="s">
        <v>1336</v>
      </c>
      <c r="N56" t="s">
        <v>196</v>
      </c>
      <c r="O56" t="s">
        <v>196</v>
      </c>
      <c r="P56" t="s">
        <v>1337</v>
      </c>
      <c r="Q56" t="s">
        <v>1338</v>
      </c>
      <c r="R56" t="s">
        <v>1339</v>
      </c>
      <c r="S56" t="b">
        <v>1</v>
      </c>
      <c r="T56" t="s">
        <v>1340</v>
      </c>
      <c r="U56" s="1">
        <v>314000000000</v>
      </c>
      <c r="V56" t="s">
        <v>184</v>
      </c>
      <c r="W56">
        <v>87512</v>
      </c>
      <c r="X56" t="s">
        <v>1341</v>
      </c>
      <c r="Y56" t="s">
        <v>1342</v>
      </c>
      <c r="Z56" t="s">
        <v>16</v>
      </c>
      <c r="AA56" t="s">
        <v>1343</v>
      </c>
      <c r="AB56" t="s">
        <v>188</v>
      </c>
      <c r="AC56" t="s">
        <v>201</v>
      </c>
      <c r="AD56" t="s">
        <v>1344</v>
      </c>
      <c r="AE56" t="s">
        <v>1345</v>
      </c>
      <c r="AF56" t="s">
        <v>1346</v>
      </c>
      <c r="AG56" t="s">
        <v>1347</v>
      </c>
      <c r="AH56" t="s">
        <v>1348</v>
      </c>
      <c r="AI56">
        <v>20210315</v>
      </c>
      <c r="AJ56">
        <v>20210524</v>
      </c>
      <c r="AK56">
        <v>20240617</v>
      </c>
      <c r="AL56">
        <v>20210602</v>
      </c>
      <c r="AM56" t="s">
        <v>1349</v>
      </c>
      <c r="AN56" t="s">
        <v>196</v>
      </c>
      <c r="AO56" t="s">
        <v>1350</v>
      </c>
      <c r="AP56" t="s">
        <v>196</v>
      </c>
      <c r="AQ56" t="s">
        <v>196</v>
      </c>
      <c r="AR56" t="s">
        <v>1351</v>
      </c>
      <c r="AS56" t="s">
        <v>1352</v>
      </c>
      <c r="AT56" t="s">
        <v>1353</v>
      </c>
      <c r="AU56" t="s">
        <v>1354</v>
      </c>
      <c r="AV56" t="s">
        <v>1355</v>
      </c>
      <c r="AW56" t="s">
        <v>196</v>
      </c>
      <c r="AX56" t="s">
        <v>196</v>
      </c>
      <c r="AY56" t="s">
        <v>196</v>
      </c>
      <c r="AZ56" t="s">
        <v>196</v>
      </c>
      <c r="BA56" t="s">
        <v>196</v>
      </c>
      <c r="BB56" t="s">
        <v>196</v>
      </c>
      <c r="BC56" t="s">
        <v>196</v>
      </c>
      <c r="BD56" s="1" t="s">
        <v>196</v>
      </c>
      <c r="BE56" s="1" t="s">
        <v>196</v>
      </c>
      <c r="BF56" t="s">
        <v>196</v>
      </c>
      <c r="BG56" t="s">
        <v>196</v>
      </c>
      <c r="BH56" t="s">
        <v>196</v>
      </c>
      <c r="BI56" t="s">
        <v>196</v>
      </c>
      <c r="BJ56" t="s">
        <v>196</v>
      </c>
      <c r="BK56" t="s">
        <v>196</v>
      </c>
      <c r="BL56" t="s">
        <v>196</v>
      </c>
      <c r="BM56" t="s">
        <v>196</v>
      </c>
      <c r="BN56" t="s">
        <v>196</v>
      </c>
      <c r="BO56" t="s">
        <v>196</v>
      </c>
      <c r="BP56" t="s">
        <v>196</v>
      </c>
      <c r="BQ56" t="s">
        <v>196</v>
      </c>
      <c r="BR56" t="s">
        <v>196</v>
      </c>
      <c r="BS56" t="s">
        <v>196</v>
      </c>
      <c r="BT56" t="s">
        <v>196</v>
      </c>
      <c r="BU56" t="s">
        <v>196</v>
      </c>
      <c r="BV56" t="s">
        <v>196</v>
      </c>
      <c r="BW56" t="s">
        <v>196</v>
      </c>
      <c r="BX56" t="s">
        <v>196</v>
      </c>
      <c r="BY56" t="s">
        <v>196</v>
      </c>
      <c r="BZ56" t="s">
        <v>196</v>
      </c>
      <c r="CA56" t="s">
        <v>196</v>
      </c>
      <c r="CB56" t="s">
        <v>196</v>
      </c>
      <c r="CC56" t="s">
        <v>196</v>
      </c>
      <c r="CD56" t="s">
        <v>196</v>
      </c>
      <c r="CE56" t="s">
        <v>196</v>
      </c>
      <c r="CF56" t="s">
        <v>196</v>
      </c>
      <c r="CG56" t="s">
        <v>196</v>
      </c>
      <c r="CH56" t="s">
        <v>196</v>
      </c>
      <c r="CI56" t="s">
        <v>196</v>
      </c>
      <c r="CJ56" t="s">
        <v>196</v>
      </c>
      <c r="CK56" t="s">
        <v>196</v>
      </c>
      <c r="CL56" t="s">
        <v>196</v>
      </c>
      <c r="CM56" t="s">
        <v>196</v>
      </c>
      <c r="CN56" t="s">
        <v>196</v>
      </c>
      <c r="CO56" s="1" t="s">
        <v>196</v>
      </c>
      <c r="CP56" s="1" t="s">
        <v>196</v>
      </c>
      <c r="CQ56" t="s">
        <v>196</v>
      </c>
      <c r="CR56" t="s">
        <v>196</v>
      </c>
      <c r="CS56" t="s">
        <v>196</v>
      </c>
      <c r="CT56" t="s">
        <v>196</v>
      </c>
      <c r="CU56" t="s">
        <v>196</v>
      </c>
      <c r="CV56" t="s">
        <v>196</v>
      </c>
      <c r="CW56" t="s">
        <v>196</v>
      </c>
      <c r="CX56" t="s">
        <v>196</v>
      </c>
      <c r="CY56" t="s">
        <v>196</v>
      </c>
      <c r="CZ56" t="s">
        <v>196</v>
      </c>
      <c r="DA56" t="s">
        <v>196</v>
      </c>
      <c r="DB56" t="s">
        <v>196</v>
      </c>
      <c r="DC56" t="s">
        <v>196</v>
      </c>
      <c r="DD56" t="s">
        <v>196</v>
      </c>
      <c r="DE56" t="s">
        <v>196</v>
      </c>
      <c r="DF56" t="s">
        <v>196</v>
      </c>
      <c r="DG56" t="s">
        <v>196</v>
      </c>
      <c r="DH56" t="s">
        <v>196</v>
      </c>
      <c r="DI56" t="s">
        <v>196</v>
      </c>
      <c r="DJ56" t="s">
        <v>196</v>
      </c>
      <c r="DK56" t="s">
        <v>196</v>
      </c>
      <c r="DL56" t="s">
        <v>196</v>
      </c>
      <c r="DM56" t="s">
        <v>196</v>
      </c>
      <c r="DN56" t="s">
        <v>196</v>
      </c>
      <c r="DO56" t="s">
        <v>196</v>
      </c>
      <c r="DP56" t="s">
        <v>196</v>
      </c>
      <c r="DQ56" t="s">
        <v>196</v>
      </c>
      <c r="DR56" t="s">
        <v>196</v>
      </c>
      <c r="DS56" t="s">
        <v>196</v>
      </c>
      <c r="DT56" t="s">
        <v>196</v>
      </c>
      <c r="DU56" t="s">
        <v>196</v>
      </c>
      <c r="DV56" t="s">
        <v>196</v>
      </c>
      <c r="DW56" t="s">
        <v>196</v>
      </c>
      <c r="DX56" t="s">
        <v>196</v>
      </c>
      <c r="DY56" t="s">
        <v>196</v>
      </c>
      <c r="DZ56" t="s">
        <v>196</v>
      </c>
      <c r="EA56" t="s">
        <v>196</v>
      </c>
      <c r="EB56" t="s">
        <v>196</v>
      </c>
      <c r="EC56" t="s">
        <v>196</v>
      </c>
      <c r="ED56" t="s">
        <v>196</v>
      </c>
      <c r="EE56" t="s">
        <v>196</v>
      </c>
      <c r="EF56" t="s">
        <v>196</v>
      </c>
      <c r="EG56" t="s">
        <v>196</v>
      </c>
      <c r="EH56" t="s">
        <v>196</v>
      </c>
      <c r="EI56" t="s">
        <v>196</v>
      </c>
      <c r="EJ56" t="s">
        <v>196</v>
      </c>
      <c r="EK56" t="s">
        <v>196</v>
      </c>
      <c r="EL56" t="s">
        <v>196</v>
      </c>
      <c r="EM56" t="s">
        <v>196</v>
      </c>
      <c r="EN56" t="s">
        <v>196</v>
      </c>
      <c r="EO56" t="s">
        <v>196</v>
      </c>
      <c r="EP56" t="str">
        <f t="shared" si="1"/>
        <v>Inactive</v>
      </c>
    </row>
    <row r="57" spans="1:146">
      <c r="A57" t="s">
        <v>3</v>
      </c>
      <c r="B57" t="s">
        <v>1029</v>
      </c>
      <c r="C57" t="s">
        <v>16</v>
      </c>
      <c r="D57" t="s">
        <v>638</v>
      </c>
      <c r="E57" t="s">
        <v>7</v>
      </c>
      <c r="F57" t="s">
        <v>196</v>
      </c>
      <c r="G57" t="s">
        <v>196</v>
      </c>
      <c r="H57" t="s">
        <v>196</v>
      </c>
      <c r="I57" t="s">
        <v>196</v>
      </c>
      <c r="J57" t="s">
        <v>196</v>
      </c>
      <c r="K57" t="s">
        <v>196</v>
      </c>
      <c r="L57" t="s">
        <v>196</v>
      </c>
      <c r="M57" t="s">
        <v>196</v>
      </c>
      <c r="N57" t="s">
        <v>196</v>
      </c>
      <c r="O57" t="s">
        <v>196</v>
      </c>
      <c r="P57" t="s">
        <v>196</v>
      </c>
      <c r="Q57" t="s">
        <v>196</v>
      </c>
      <c r="R57" t="s">
        <v>196</v>
      </c>
      <c r="S57" t="s">
        <v>196</v>
      </c>
      <c r="T57" t="s">
        <v>196</v>
      </c>
      <c r="U57" s="1" t="s">
        <v>196</v>
      </c>
      <c r="V57" t="s">
        <v>184</v>
      </c>
      <c r="W57">
        <v>95595</v>
      </c>
      <c r="X57" t="s">
        <v>1039</v>
      </c>
      <c r="Y57" t="s">
        <v>1040</v>
      </c>
      <c r="Z57" t="s">
        <v>196</v>
      </c>
      <c r="AA57" t="s">
        <v>16</v>
      </c>
      <c r="AB57" t="s">
        <v>188</v>
      </c>
      <c r="AC57" t="s">
        <v>201</v>
      </c>
      <c r="AD57" t="s">
        <v>1041</v>
      </c>
      <c r="AE57" t="s">
        <v>1356</v>
      </c>
      <c r="AF57" t="s">
        <v>1357</v>
      </c>
      <c r="AG57" t="s">
        <v>1358</v>
      </c>
      <c r="AH57" t="s">
        <v>1045</v>
      </c>
      <c r="AI57">
        <v>20241024</v>
      </c>
      <c r="AJ57">
        <v>20241122</v>
      </c>
      <c r="AK57" t="s">
        <v>196</v>
      </c>
      <c r="AL57">
        <v>20241204</v>
      </c>
      <c r="AM57" t="s">
        <v>1359</v>
      </c>
      <c r="AN57" t="s">
        <v>196</v>
      </c>
      <c r="AO57" t="s">
        <v>196</v>
      </c>
      <c r="AP57" t="s">
        <v>196</v>
      </c>
      <c r="AQ57" t="s">
        <v>196</v>
      </c>
      <c r="AR57" t="s">
        <v>196</v>
      </c>
      <c r="AS57" t="s">
        <v>196</v>
      </c>
      <c r="AT57" t="s">
        <v>196</v>
      </c>
      <c r="AU57" t="s">
        <v>196</v>
      </c>
      <c r="AV57" t="s">
        <v>196</v>
      </c>
      <c r="AW57" t="s">
        <v>196</v>
      </c>
      <c r="AX57" t="s">
        <v>196</v>
      </c>
      <c r="AY57" t="s">
        <v>196</v>
      </c>
      <c r="AZ57" t="s">
        <v>196</v>
      </c>
      <c r="BA57" t="s">
        <v>196</v>
      </c>
      <c r="BB57" t="s">
        <v>196</v>
      </c>
      <c r="BC57" t="s">
        <v>196</v>
      </c>
      <c r="BD57" s="1" t="s">
        <v>196</v>
      </c>
      <c r="BE57" s="1" t="s">
        <v>196</v>
      </c>
      <c r="BF57" t="s">
        <v>196</v>
      </c>
      <c r="BG57" t="s">
        <v>196</v>
      </c>
      <c r="BH57" t="s">
        <v>196</v>
      </c>
      <c r="BI57" t="s">
        <v>196</v>
      </c>
      <c r="BJ57" t="s">
        <v>196</v>
      </c>
      <c r="BK57" t="s">
        <v>196</v>
      </c>
      <c r="BL57" t="s">
        <v>196</v>
      </c>
      <c r="BM57" t="s">
        <v>196</v>
      </c>
      <c r="BN57" t="s">
        <v>196</v>
      </c>
      <c r="BO57" t="s">
        <v>196</v>
      </c>
      <c r="BP57" t="s">
        <v>196</v>
      </c>
      <c r="BQ57" t="s">
        <v>196</v>
      </c>
      <c r="BR57" t="s">
        <v>196</v>
      </c>
      <c r="BS57" t="s">
        <v>196</v>
      </c>
      <c r="BT57" t="s">
        <v>196</v>
      </c>
      <c r="BU57" t="s">
        <v>196</v>
      </c>
      <c r="BV57" t="s">
        <v>196</v>
      </c>
      <c r="BW57" t="s">
        <v>196</v>
      </c>
      <c r="BX57" t="s">
        <v>196</v>
      </c>
      <c r="BY57" t="s">
        <v>196</v>
      </c>
      <c r="BZ57" t="s">
        <v>196</v>
      </c>
      <c r="CA57" t="s">
        <v>196</v>
      </c>
      <c r="CB57" t="s">
        <v>196</v>
      </c>
      <c r="CC57" t="s">
        <v>196</v>
      </c>
      <c r="CD57" t="s">
        <v>196</v>
      </c>
      <c r="CE57" t="s">
        <v>196</v>
      </c>
      <c r="CF57" t="s">
        <v>196</v>
      </c>
      <c r="CG57" t="s">
        <v>196</v>
      </c>
      <c r="CH57" t="s">
        <v>196</v>
      </c>
      <c r="CI57" t="s">
        <v>196</v>
      </c>
      <c r="CJ57" t="s">
        <v>196</v>
      </c>
      <c r="CK57" t="s">
        <v>196</v>
      </c>
      <c r="CL57" t="s">
        <v>196</v>
      </c>
      <c r="CM57" t="s">
        <v>196</v>
      </c>
      <c r="CN57" t="s">
        <v>196</v>
      </c>
      <c r="CO57" s="1" t="s">
        <v>196</v>
      </c>
      <c r="CP57" s="1" t="s">
        <v>196</v>
      </c>
      <c r="CQ57" t="s">
        <v>196</v>
      </c>
      <c r="CR57" t="s">
        <v>196</v>
      </c>
      <c r="CS57" t="s">
        <v>196</v>
      </c>
      <c r="CT57" t="s">
        <v>196</v>
      </c>
      <c r="CU57" t="s">
        <v>196</v>
      </c>
      <c r="CV57" t="s">
        <v>196</v>
      </c>
      <c r="CW57" t="s">
        <v>196</v>
      </c>
      <c r="CX57" t="s">
        <v>196</v>
      </c>
      <c r="CY57" t="s">
        <v>196</v>
      </c>
      <c r="CZ57" t="s">
        <v>196</v>
      </c>
      <c r="DA57" t="s">
        <v>196</v>
      </c>
      <c r="DB57" t="s">
        <v>196</v>
      </c>
      <c r="DC57" t="s">
        <v>196</v>
      </c>
      <c r="DD57" t="s">
        <v>196</v>
      </c>
      <c r="DE57" t="s">
        <v>196</v>
      </c>
      <c r="DF57" t="s">
        <v>196</v>
      </c>
      <c r="DG57" t="s">
        <v>196</v>
      </c>
      <c r="DH57" t="s">
        <v>196</v>
      </c>
      <c r="DI57" t="s">
        <v>196</v>
      </c>
      <c r="DJ57" t="s">
        <v>196</v>
      </c>
      <c r="DK57" t="s">
        <v>196</v>
      </c>
      <c r="DL57" t="s">
        <v>196</v>
      </c>
      <c r="DM57" t="s">
        <v>196</v>
      </c>
      <c r="DN57" t="s">
        <v>196</v>
      </c>
      <c r="DO57" t="s">
        <v>196</v>
      </c>
      <c r="DP57" t="s">
        <v>196</v>
      </c>
      <c r="DQ57" t="s">
        <v>196</v>
      </c>
      <c r="DR57" t="s">
        <v>196</v>
      </c>
      <c r="DS57" t="s">
        <v>196</v>
      </c>
      <c r="DT57" t="s">
        <v>196</v>
      </c>
      <c r="DU57" t="s">
        <v>196</v>
      </c>
      <c r="DV57" t="s">
        <v>196</v>
      </c>
      <c r="DW57" t="s">
        <v>196</v>
      </c>
      <c r="DX57" t="s">
        <v>196</v>
      </c>
      <c r="DY57" t="s">
        <v>196</v>
      </c>
      <c r="DZ57" t="s">
        <v>196</v>
      </c>
      <c r="EA57" t="s">
        <v>196</v>
      </c>
      <c r="EB57" t="s">
        <v>196</v>
      </c>
      <c r="EC57" t="s">
        <v>196</v>
      </c>
      <c r="ED57" t="s">
        <v>196</v>
      </c>
      <c r="EE57" t="s">
        <v>196</v>
      </c>
      <c r="EF57" t="s">
        <v>196</v>
      </c>
      <c r="EG57" t="s">
        <v>196</v>
      </c>
      <c r="EH57" t="s">
        <v>196</v>
      </c>
      <c r="EI57" t="s">
        <v>196</v>
      </c>
      <c r="EJ57" t="s">
        <v>196</v>
      </c>
      <c r="EK57" t="s">
        <v>196</v>
      </c>
      <c r="EL57" t="s">
        <v>196</v>
      </c>
      <c r="EM57" t="s">
        <v>196</v>
      </c>
      <c r="EN57" t="s">
        <v>196</v>
      </c>
      <c r="EO57" t="s">
        <v>196</v>
      </c>
      <c r="EP57" t="str">
        <f t="shared" si="1"/>
        <v>Active</v>
      </c>
    </row>
    <row r="58" spans="1:146">
      <c r="A58" t="s">
        <v>4</v>
      </c>
      <c r="B58" t="s">
        <v>171</v>
      </c>
      <c r="C58" t="s">
        <v>18</v>
      </c>
      <c r="D58" t="s">
        <v>172</v>
      </c>
      <c r="E58" t="s">
        <v>6</v>
      </c>
      <c r="F58" t="s">
        <v>173</v>
      </c>
      <c r="G58" t="s">
        <v>174</v>
      </c>
      <c r="H58" t="s">
        <v>175</v>
      </c>
      <c r="I58" t="s">
        <v>1360</v>
      </c>
      <c r="J58" t="s">
        <v>1361</v>
      </c>
      <c r="K58" t="s">
        <v>178</v>
      </c>
      <c r="L58" t="s">
        <v>179</v>
      </c>
      <c r="M58" t="s">
        <v>175</v>
      </c>
      <c r="N58">
        <v>209674</v>
      </c>
      <c r="O58">
        <v>313421</v>
      </c>
      <c r="P58" t="s">
        <v>1362</v>
      </c>
      <c r="Q58" t="s">
        <v>1363</v>
      </c>
      <c r="R58" t="s">
        <v>1364</v>
      </c>
      <c r="S58" t="b">
        <v>1</v>
      </c>
      <c r="T58" t="s">
        <v>183</v>
      </c>
      <c r="U58" s="1">
        <v>311000000000</v>
      </c>
      <c r="V58" t="s">
        <v>184</v>
      </c>
      <c r="W58">
        <v>88677</v>
      </c>
      <c r="X58" t="s">
        <v>185</v>
      </c>
      <c r="Y58" t="s">
        <v>186</v>
      </c>
      <c r="Z58" t="s">
        <v>16</v>
      </c>
      <c r="AA58" t="s">
        <v>187</v>
      </c>
      <c r="AB58" t="s">
        <v>188</v>
      </c>
      <c r="AC58" t="s">
        <v>189</v>
      </c>
      <c r="AD58" t="s">
        <v>190</v>
      </c>
      <c r="AE58" t="s">
        <v>1365</v>
      </c>
      <c r="AF58" t="s">
        <v>1366</v>
      </c>
      <c r="AG58" t="s">
        <v>1367</v>
      </c>
      <c r="AH58" t="s">
        <v>194</v>
      </c>
      <c r="AI58">
        <v>20211001</v>
      </c>
      <c r="AJ58">
        <v>20211118</v>
      </c>
      <c r="AK58">
        <v>20230626</v>
      </c>
      <c r="AL58">
        <v>20211124</v>
      </c>
      <c r="AM58" t="s">
        <v>1368</v>
      </c>
      <c r="AN58" t="s">
        <v>196</v>
      </c>
      <c r="AO58" t="s">
        <v>196</v>
      </c>
      <c r="AP58" t="s">
        <v>196</v>
      </c>
      <c r="AQ58" t="s">
        <v>196</v>
      </c>
      <c r="AR58" t="s">
        <v>196</v>
      </c>
      <c r="AS58" t="s">
        <v>196</v>
      </c>
      <c r="AT58" t="s">
        <v>196</v>
      </c>
      <c r="AU58" t="s">
        <v>196</v>
      </c>
      <c r="AV58" t="s">
        <v>196</v>
      </c>
      <c r="AW58" t="s">
        <v>196</v>
      </c>
      <c r="AX58" t="s">
        <v>196</v>
      </c>
      <c r="AY58" t="s">
        <v>196</v>
      </c>
      <c r="AZ58" t="s">
        <v>196</v>
      </c>
      <c r="BA58" t="s">
        <v>196</v>
      </c>
      <c r="BB58" t="s">
        <v>196</v>
      </c>
      <c r="BC58" t="s">
        <v>196</v>
      </c>
      <c r="BD58" s="1">
        <v>311000000000</v>
      </c>
      <c r="BE58" s="1" t="s">
        <v>196</v>
      </c>
      <c r="BF58" t="s">
        <v>196</v>
      </c>
      <c r="BG58" t="s">
        <v>196</v>
      </c>
      <c r="BH58" t="s">
        <v>196</v>
      </c>
      <c r="BI58" t="s">
        <v>196</v>
      </c>
      <c r="BJ58" t="s">
        <v>196</v>
      </c>
      <c r="BK58" t="s">
        <v>196</v>
      </c>
      <c r="BL58" t="s">
        <v>196</v>
      </c>
      <c r="BM58" t="s">
        <v>196</v>
      </c>
      <c r="BN58" t="s">
        <v>196</v>
      </c>
      <c r="BO58" t="s">
        <v>196</v>
      </c>
      <c r="BP58" t="s">
        <v>196</v>
      </c>
      <c r="BQ58" t="s">
        <v>196</v>
      </c>
      <c r="BR58" t="s">
        <v>196</v>
      </c>
      <c r="BS58" t="s">
        <v>196</v>
      </c>
      <c r="BT58" t="s">
        <v>196</v>
      </c>
      <c r="BU58" t="s">
        <v>196</v>
      </c>
      <c r="BV58" t="s">
        <v>196</v>
      </c>
      <c r="BW58" t="s">
        <v>196</v>
      </c>
      <c r="BX58" t="s">
        <v>196</v>
      </c>
      <c r="BY58" t="s">
        <v>196</v>
      </c>
      <c r="BZ58" t="s">
        <v>196</v>
      </c>
      <c r="CA58" t="s">
        <v>196</v>
      </c>
      <c r="CB58" t="s">
        <v>196</v>
      </c>
      <c r="CC58" t="s">
        <v>196</v>
      </c>
      <c r="CD58" t="s">
        <v>196</v>
      </c>
      <c r="CE58" t="s">
        <v>196</v>
      </c>
      <c r="CF58" t="s">
        <v>196</v>
      </c>
      <c r="CG58" t="s">
        <v>196</v>
      </c>
      <c r="CH58" t="s">
        <v>196</v>
      </c>
      <c r="CI58" t="s">
        <v>196</v>
      </c>
      <c r="CJ58" t="s">
        <v>196</v>
      </c>
      <c r="CK58" t="s">
        <v>196</v>
      </c>
      <c r="CL58" t="s">
        <v>196</v>
      </c>
      <c r="CM58" t="s">
        <v>196</v>
      </c>
      <c r="CN58" t="s">
        <v>196</v>
      </c>
      <c r="CO58" s="1" t="s">
        <v>196</v>
      </c>
      <c r="CP58" s="1" t="s">
        <v>196</v>
      </c>
      <c r="CQ58" t="s">
        <v>196</v>
      </c>
      <c r="CR58" t="s">
        <v>196</v>
      </c>
      <c r="CS58" t="s">
        <v>196</v>
      </c>
      <c r="CT58" t="s">
        <v>196</v>
      </c>
      <c r="CU58" t="s">
        <v>196</v>
      </c>
      <c r="CV58" t="s">
        <v>196</v>
      </c>
      <c r="CW58" t="s">
        <v>196</v>
      </c>
      <c r="CX58" t="s">
        <v>196</v>
      </c>
      <c r="CY58" t="s">
        <v>196</v>
      </c>
      <c r="CZ58" t="s">
        <v>196</v>
      </c>
      <c r="DA58" t="s">
        <v>196</v>
      </c>
      <c r="DB58" t="s">
        <v>196</v>
      </c>
      <c r="DC58" t="s">
        <v>196</v>
      </c>
      <c r="DD58" t="s">
        <v>196</v>
      </c>
      <c r="DE58" t="s">
        <v>196</v>
      </c>
      <c r="DF58" t="s">
        <v>196</v>
      </c>
      <c r="DG58" t="s">
        <v>196</v>
      </c>
      <c r="DH58" t="s">
        <v>196</v>
      </c>
      <c r="DI58" t="s">
        <v>196</v>
      </c>
      <c r="DJ58" t="s">
        <v>196</v>
      </c>
      <c r="DK58" t="s">
        <v>196</v>
      </c>
      <c r="DL58" t="s">
        <v>196</v>
      </c>
      <c r="DM58" t="s">
        <v>196</v>
      </c>
      <c r="DN58" t="s">
        <v>196</v>
      </c>
      <c r="DO58" t="s">
        <v>196</v>
      </c>
      <c r="DP58" t="s">
        <v>196</v>
      </c>
      <c r="DQ58" t="s">
        <v>196</v>
      </c>
      <c r="DR58" t="s">
        <v>196</v>
      </c>
      <c r="DS58" t="s">
        <v>196</v>
      </c>
      <c r="DT58" t="s">
        <v>196</v>
      </c>
      <c r="DU58" t="s">
        <v>196</v>
      </c>
      <c r="DV58" t="s">
        <v>196</v>
      </c>
      <c r="DW58" t="s">
        <v>196</v>
      </c>
      <c r="DX58" t="s">
        <v>196</v>
      </c>
      <c r="DY58" t="s">
        <v>196</v>
      </c>
      <c r="DZ58" t="s">
        <v>196</v>
      </c>
      <c r="EA58" t="s">
        <v>196</v>
      </c>
      <c r="EB58" t="s">
        <v>196</v>
      </c>
      <c r="EC58" t="s">
        <v>196</v>
      </c>
      <c r="ED58" t="s">
        <v>196</v>
      </c>
      <c r="EE58" t="s">
        <v>196</v>
      </c>
      <c r="EF58" t="s">
        <v>196</v>
      </c>
      <c r="EG58" t="s">
        <v>196</v>
      </c>
      <c r="EH58" t="s">
        <v>196</v>
      </c>
      <c r="EI58" t="s">
        <v>196</v>
      </c>
      <c r="EJ58" t="s">
        <v>196</v>
      </c>
      <c r="EK58" t="s">
        <v>196</v>
      </c>
      <c r="EL58" t="s">
        <v>196</v>
      </c>
      <c r="EM58" t="s">
        <v>196</v>
      </c>
      <c r="EN58" t="s">
        <v>196</v>
      </c>
      <c r="EO58" t="s">
        <v>196</v>
      </c>
      <c r="EP58" t="str">
        <f t="shared" si="1"/>
        <v>Inactive</v>
      </c>
    </row>
    <row r="59" spans="1:146">
      <c r="A59" t="s">
        <v>3</v>
      </c>
      <c r="B59" t="s">
        <v>273</v>
      </c>
      <c r="C59" t="s">
        <v>18</v>
      </c>
      <c r="D59" t="s">
        <v>172</v>
      </c>
      <c r="E59" t="s">
        <v>7</v>
      </c>
      <c r="F59" t="s">
        <v>274</v>
      </c>
      <c r="G59" t="s">
        <v>275</v>
      </c>
      <c r="H59" t="s">
        <v>275</v>
      </c>
      <c r="I59" t="s">
        <v>276</v>
      </c>
      <c r="J59" t="s">
        <v>277</v>
      </c>
      <c r="K59" t="s">
        <v>212</v>
      </c>
      <c r="L59" t="s">
        <v>213</v>
      </c>
      <c r="M59" t="s">
        <v>275</v>
      </c>
      <c r="N59">
        <v>830865</v>
      </c>
      <c r="O59">
        <v>830869</v>
      </c>
      <c r="P59" t="s">
        <v>278</v>
      </c>
      <c r="Q59" t="s">
        <v>279</v>
      </c>
      <c r="R59" t="s">
        <v>280</v>
      </c>
      <c r="S59" t="b">
        <v>1</v>
      </c>
      <c r="T59" t="s">
        <v>281</v>
      </c>
      <c r="U59" s="1">
        <v>368000000000</v>
      </c>
      <c r="V59" t="s">
        <v>184</v>
      </c>
      <c r="W59">
        <v>95660</v>
      </c>
      <c r="X59" t="s">
        <v>282</v>
      </c>
      <c r="Y59" t="s">
        <v>283</v>
      </c>
      <c r="Z59" t="s">
        <v>196</v>
      </c>
      <c r="AA59" t="s">
        <v>284</v>
      </c>
      <c r="AB59" t="s">
        <v>188</v>
      </c>
      <c r="AC59" t="s">
        <v>201</v>
      </c>
      <c r="AD59" t="s">
        <v>202</v>
      </c>
      <c r="AE59" t="s">
        <v>1369</v>
      </c>
      <c r="AF59" t="s">
        <v>1370</v>
      </c>
      <c r="AG59" t="s">
        <v>1371</v>
      </c>
      <c r="AH59" t="s">
        <v>288</v>
      </c>
      <c r="AI59">
        <v>20241101</v>
      </c>
      <c r="AJ59">
        <v>20241203</v>
      </c>
      <c r="AK59" t="s">
        <v>196</v>
      </c>
      <c r="AL59">
        <v>20241211</v>
      </c>
      <c r="AM59" t="s">
        <v>1372</v>
      </c>
      <c r="AN59" t="s">
        <v>196</v>
      </c>
      <c r="AO59" t="s">
        <v>290</v>
      </c>
      <c r="AP59" t="s">
        <v>291</v>
      </c>
      <c r="AQ59">
        <v>830872</v>
      </c>
      <c r="AR59" t="s">
        <v>292</v>
      </c>
      <c r="AS59" t="s">
        <v>293</v>
      </c>
      <c r="AT59" t="s">
        <v>196</v>
      </c>
      <c r="AU59" t="s">
        <v>196</v>
      </c>
      <c r="AV59" t="s">
        <v>196</v>
      </c>
      <c r="AW59" t="s">
        <v>196</v>
      </c>
      <c r="AX59" t="s">
        <v>196</v>
      </c>
      <c r="AY59" t="s">
        <v>196</v>
      </c>
      <c r="AZ59" t="s">
        <v>196</v>
      </c>
      <c r="BA59" t="s">
        <v>196</v>
      </c>
      <c r="BB59" t="s">
        <v>196</v>
      </c>
      <c r="BC59" t="s">
        <v>196</v>
      </c>
      <c r="BD59" s="1">
        <v>368000000000</v>
      </c>
      <c r="BE59" s="1">
        <v>368000000000</v>
      </c>
      <c r="BF59" t="s">
        <v>196</v>
      </c>
      <c r="BG59" t="s">
        <v>196</v>
      </c>
      <c r="BH59" t="s">
        <v>196</v>
      </c>
      <c r="BI59" t="s">
        <v>196</v>
      </c>
      <c r="BJ59" t="s">
        <v>196</v>
      </c>
      <c r="BK59" t="s">
        <v>196</v>
      </c>
      <c r="BL59" t="s">
        <v>196</v>
      </c>
      <c r="BM59" t="s">
        <v>196</v>
      </c>
      <c r="BN59" t="s">
        <v>196</v>
      </c>
      <c r="BO59" t="s">
        <v>196</v>
      </c>
      <c r="BP59" t="s">
        <v>196</v>
      </c>
      <c r="BQ59" t="s">
        <v>196</v>
      </c>
      <c r="BR59" t="s">
        <v>196</v>
      </c>
      <c r="BS59" t="s">
        <v>196</v>
      </c>
      <c r="BT59" t="s">
        <v>196</v>
      </c>
      <c r="BU59" t="s">
        <v>196</v>
      </c>
      <c r="BV59" t="s">
        <v>196</v>
      </c>
      <c r="BW59" t="s">
        <v>196</v>
      </c>
      <c r="BX59" t="s">
        <v>196</v>
      </c>
      <c r="BY59" t="s">
        <v>196</v>
      </c>
      <c r="BZ59" t="s">
        <v>196</v>
      </c>
      <c r="CA59" t="s">
        <v>196</v>
      </c>
      <c r="CB59" t="s">
        <v>196</v>
      </c>
      <c r="CC59" t="s">
        <v>196</v>
      </c>
      <c r="CD59" t="s">
        <v>196</v>
      </c>
      <c r="CE59" t="s">
        <v>196</v>
      </c>
      <c r="CF59" t="s">
        <v>196</v>
      </c>
      <c r="CG59" t="s">
        <v>196</v>
      </c>
      <c r="CH59" t="s">
        <v>196</v>
      </c>
      <c r="CI59" t="s">
        <v>196</v>
      </c>
      <c r="CJ59" t="s">
        <v>196</v>
      </c>
      <c r="CK59" t="s">
        <v>196</v>
      </c>
      <c r="CL59" t="s">
        <v>196</v>
      </c>
      <c r="CM59" t="s">
        <v>196</v>
      </c>
      <c r="CN59" t="s">
        <v>196</v>
      </c>
      <c r="CO59" s="1" t="s">
        <v>196</v>
      </c>
      <c r="CP59" s="1" t="s">
        <v>196</v>
      </c>
      <c r="CQ59" t="s">
        <v>196</v>
      </c>
      <c r="CR59" t="s">
        <v>196</v>
      </c>
      <c r="CS59" t="s">
        <v>196</v>
      </c>
      <c r="CT59" t="s">
        <v>196</v>
      </c>
      <c r="CU59" t="s">
        <v>196</v>
      </c>
      <c r="CV59" t="s">
        <v>196</v>
      </c>
      <c r="CW59" t="s">
        <v>196</v>
      </c>
      <c r="CX59" t="s">
        <v>196</v>
      </c>
      <c r="CY59" t="s">
        <v>196</v>
      </c>
      <c r="CZ59" t="s">
        <v>196</v>
      </c>
      <c r="DA59" t="s">
        <v>196</v>
      </c>
      <c r="DB59" t="s">
        <v>196</v>
      </c>
      <c r="DC59" t="s">
        <v>196</v>
      </c>
      <c r="DD59" t="s">
        <v>196</v>
      </c>
      <c r="DE59" t="s">
        <v>196</v>
      </c>
      <c r="DF59" t="s">
        <v>196</v>
      </c>
      <c r="DG59" t="s">
        <v>196</v>
      </c>
      <c r="DH59" t="s">
        <v>196</v>
      </c>
      <c r="DI59" t="s">
        <v>196</v>
      </c>
      <c r="DJ59" t="s">
        <v>196</v>
      </c>
      <c r="DK59" t="s">
        <v>196</v>
      </c>
      <c r="DL59" t="s">
        <v>196</v>
      </c>
      <c r="DM59" t="s">
        <v>196</v>
      </c>
      <c r="DN59" t="s">
        <v>196</v>
      </c>
      <c r="DO59" t="s">
        <v>196</v>
      </c>
      <c r="DP59" t="s">
        <v>196</v>
      </c>
      <c r="DQ59" t="s">
        <v>196</v>
      </c>
      <c r="DR59" t="s">
        <v>196</v>
      </c>
      <c r="DS59" t="s">
        <v>196</v>
      </c>
      <c r="DT59" t="s">
        <v>196</v>
      </c>
      <c r="DU59" t="s">
        <v>196</v>
      </c>
      <c r="DV59" t="s">
        <v>196</v>
      </c>
      <c r="DW59" t="s">
        <v>196</v>
      </c>
      <c r="DX59" t="s">
        <v>196</v>
      </c>
      <c r="DY59" t="s">
        <v>196</v>
      </c>
      <c r="DZ59" t="s">
        <v>196</v>
      </c>
      <c r="EA59" t="s">
        <v>196</v>
      </c>
      <c r="EB59" t="s">
        <v>196</v>
      </c>
      <c r="EC59" t="s">
        <v>196</v>
      </c>
      <c r="ED59" t="s">
        <v>196</v>
      </c>
      <c r="EE59" t="s">
        <v>196</v>
      </c>
      <c r="EF59" t="s">
        <v>196</v>
      </c>
      <c r="EG59" t="s">
        <v>196</v>
      </c>
      <c r="EH59" t="s">
        <v>196</v>
      </c>
      <c r="EI59" t="s">
        <v>196</v>
      </c>
      <c r="EJ59" t="s">
        <v>196</v>
      </c>
      <c r="EK59" t="s">
        <v>196</v>
      </c>
      <c r="EL59" t="s">
        <v>196</v>
      </c>
      <c r="EM59" t="s">
        <v>196</v>
      </c>
      <c r="EN59" t="s">
        <v>196</v>
      </c>
      <c r="EO59" t="s">
        <v>196</v>
      </c>
      <c r="EP59" t="str">
        <f t="shared" si="1"/>
        <v>Active</v>
      </c>
    </row>
    <row r="60" spans="1:146">
      <c r="A60" t="s">
        <v>4</v>
      </c>
      <c r="B60" t="s">
        <v>996</v>
      </c>
      <c r="C60" t="s">
        <v>11</v>
      </c>
      <c r="D60" t="s">
        <v>172</v>
      </c>
      <c r="E60" t="s">
        <v>7</v>
      </c>
      <c r="F60" t="s">
        <v>1373</v>
      </c>
      <c r="G60" t="s">
        <v>1374</v>
      </c>
      <c r="H60" t="s">
        <v>1375</v>
      </c>
      <c r="I60" t="s">
        <v>1000</v>
      </c>
      <c r="J60" t="s">
        <v>1376</v>
      </c>
      <c r="K60" t="s">
        <v>212</v>
      </c>
      <c r="L60" t="s">
        <v>1002</v>
      </c>
      <c r="M60" t="s">
        <v>1375</v>
      </c>
      <c r="N60" t="s">
        <v>196</v>
      </c>
      <c r="O60" t="s">
        <v>196</v>
      </c>
      <c r="P60" t="s">
        <v>1377</v>
      </c>
      <c r="Q60" t="s">
        <v>1378</v>
      </c>
      <c r="R60" t="s">
        <v>1379</v>
      </c>
      <c r="S60" t="b">
        <v>1</v>
      </c>
      <c r="T60" t="s">
        <v>1380</v>
      </c>
      <c r="U60" t="s">
        <v>196</v>
      </c>
      <c r="V60" t="s">
        <v>184</v>
      </c>
      <c r="W60">
        <v>75450</v>
      </c>
      <c r="X60" t="s">
        <v>1381</v>
      </c>
      <c r="Y60" t="s">
        <v>1382</v>
      </c>
      <c r="Z60" t="s">
        <v>196</v>
      </c>
      <c r="AA60" t="s">
        <v>1010</v>
      </c>
      <c r="AB60" t="s">
        <v>188</v>
      </c>
      <c r="AC60" t="s">
        <v>201</v>
      </c>
      <c r="AD60" t="s">
        <v>1383</v>
      </c>
      <c r="AE60" t="s">
        <v>1384</v>
      </c>
      <c r="AF60" t="s">
        <v>1385</v>
      </c>
      <c r="AG60" t="s">
        <v>1386</v>
      </c>
      <c r="AH60" t="s">
        <v>1387</v>
      </c>
      <c r="AI60">
        <v>20160822</v>
      </c>
      <c r="AJ60">
        <v>20170110</v>
      </c>
      <c r="AK60">
        <v>20190320</v>
      </c>
      <c r="AL60">
        <v>20170118</v>
      </c>
      <c r="AM60" t="s">
        <v>1388</v>
      </c>
      <c r="AN60" t="s">
        <v>196</v>
      </c>
      <c r="AO60" t="s">
        <v>1389</v>
      </c>
      <c r="AP60" t="s">
        <v>1390</v>
      </c>
      <c r="AQ60" t="s">
        <v>196</v>
      </c>
      <c r="AR60" t="s">
        <v>1391</v>
      </c>
      <c r="AS60" t="s">
        <v>1392</v>
      </c>
      <c r="AT60" t="s">
        <v>1393</v>
      </c>
      <c r="AU60" t="s">
        <v>196</v>
      </c>
      <c r="AV60" t="s">
        <v>196</v>
      </c>
      <c r="AW60" t="s">
        <v>196</v>
      </c>
      <c r="AX60" t="s">
        <v>196</v>
      </c>
      <c r="AY60" t="s">
        <v>196</v>
      </c>
      <c r="AZ60" t="s">
        <v>196</v>
      </c>
      <c r="BA60" t="s">
        <v>196</v>
      </c>
      <c r="BB60" t="s">
        <v>196</v>
      </c>
      <c r="BC60" t="s">
        <v>196</v>
      </c>
      <c r="BD60" t="s">
        <v>196</v>
      </c>
      <c r="BE60" s="1" t="s">
        <v>196</v>
      </c>
      <c r="BF60" t="s">
        <v>1394</v>
      </c>
      <c r="BG60" t="s">
        <v>196</v>
      </c>
      <c r="BH60" t="s">
        <v>196</v>
      </c>
      <c r="BI60" t="s">
        <v>196</v>
      </c>
      <c r="BJ60" t="s">
        <v>196</v>
      </c>
      <c r="BK60" t="s">
        <v>196</v>
      </c>
      <c r="BL60" t="s">
        <v>196</v>
      </c>
      <c r="BM60" t="s">
        <v>196</v>
      </c>
      <c r="BN60" t="s">
        <v>196</v>
      </c>
      <c r="BO60" t="s">
        <v>196</v>
      </c>
      <c r="BP60" t="s">
        <v>196</v>
      </c>
      <c r="BQ60" t="s">
        <v>1395</v>
      </c>
      <c r="BR60" t="s">
        <v>1396</v>
      </c>
      <c r="BS60" t="s">
        <v>196</v>
      </c>
      <c r="BT60" t="s">
        <v>1397</v>
      </c>
      <c r="BU60" t="s">
        <v>196</v>
      </c>
      <c r="BV60" t="s">
        <v>196</v>
      </c>
      <c r="BW60" t="s">
        <v>196</v>
      </c>
      <c r="BX60" t="s">
        <v>196</v>
      </c>
      <c r="BY60" t="s">
        <v>196</v>
      </c>
      <c r="BZ60" t="s">
        <v>196</v>
      </c>
      <c r="CA60" t="s">
        <v>196</v>
      </c>
      <c r="CB60" t="s">
        <v>196</v>
      </c>
      <c r="CC60" t="s">
        <v>196</v>
      </c>
      <c r="CD60" t="s">
        <v>196</v>
      </c>
      <c r="CE60" t="s">
        <v>196</v>
      </c>
      <c r="CF60" t="s">
        <v>196</v>
      </c>
      <c r="CG60" t="s">
        <v>196</v>
      </c>
      <c r="CH60" t="s">
        <v>196</v>
      </c>
      <c r="CI60" t="s">
        <v>196</v>
      </c>
      <c r="CJ60" t="s">
        <v>196</v>
      </c>
      <c r="CK60" t="s">
        <v>196</v>
      </c>
      <c r="CL60" t="s">
        <v>196</v>
      </c>
      <c r="CM60" t="s">
        <v>196</v>
      </c>
      <c r="CN60" t="s">
        <v>196</v>
      </c>
      <c r="CO60" s="1" t="s">
        <v>196</v>
      </c>
      <c r="CP60" s="1" t="s">
        <v>196</v>
      </c>
      <c r="CQ60" t="s">
        <v>196</v>
      </c>
      <c r="CR60" t="s">
        <v>196</v>
      </c>
      <c r="CS60" t="s">
        <v>196</v>
      </c>
      <c r="CT60" t="s">
        <v>196</v>
      </c>
      <c r="CU60" t="s">
        <v>196</v>
      </c>
      <c r="CV60" t="s">
        <v>196</v>
      </c>
      <c r="CW60" t="s">
        <v>196</v>
      </c>
      <c r="CX60" t="s">
        <v>196</v>
      </c>
      <c r="CY60" t="s">
        <v>196</v>
      </c>
      <c r="CZ60" t="s">
        <v>196</v>
      </c>
      <c r="DA60" t="s">
        <v>1398</v>
      </c>
      <c r="DB60" t="s">
        <v>196</v>
      </c>
      <c r="DC60" t="s">
        <v>196</v>
      </c>
      <c r="DD60" t="s">
        <v>196</v>
      </c>
      <c r="DE60" t="s">
        <v>196</v>
      </c>
      <c r="DF60" t="s">
        <v>196</v>
      </c>
      <c r="DG60" t="s">
        <v>196</v>
      </c>
      <c r="DH60" t="s">
        <v>196</v>
      </c>
      <c r="DI60" t="s">
        <v>196</v>
      </c>
      <c r="DJ60" t="s">
        <v>196</v>
      </c>
      <c r="DK60" t="s">
        <v>196</v>
      </c>
      <c r="DL60" t="s">
        <v>196</v>
      </c>
      <c r="DM60" t="s">
        <v>196</v>
      </c>
      <c r="DN60" t="s">
        <v>196</v>
      </c>
      <c r="DO60" t="s">
        <v>196</v>
      </c>
      <c r="DP60" t="s">
        <v>196</v>
      </c>
      <c r="DQ60" t="s">
        <v>196</v>
      </c>
      <c r="DR60" t="s">
        <v>196</v>
      </c>
      <c r="DS60" t="s">
        <v>196</v>
      </c>
      <c r="DT60" t="s">
        <v>196</v>
      </c>
      <c r="DU60" t="s">
        <v>196</v>
      </c>
      <c r="DV60" t="s">
        <v>196</v>
      </c>
      <c r="DW60" t="s">
        <v>196</v>
      </c>
      <c r="DX60" t="s">
        <v>196</v>
      </c>
      <c r="DY60" t="s">
        <v>196</v>
      </c>
      <c r="DZ60" t="s">
        <v>196</v>
      </c>
      <c r="EA60" t="s">
        <v>196</v>
      </c>
      <c r="EB60" t="s">
        <v>196</v>
      </c>
      <c r="EC60" t="s">
        <v>196</v>
      </c>
      <c r="ED60" t="s">
        <v>196</v>
      </c>
      <c r="EE60" t="s">
        <v>196</v>
      </c>
      <c r="EF60" t="s">
        <v>196</v>
      </c>
      <c r="EG60" t="s">
        <v>196</v>
      </c>
      <c r="EH60" t="s">
        <v>196</v>
      </c>
      <c r="EI60" t="s">
        <v>196</v>
      </c>
      <c r="EJ60" t="s">
        <v>196</v>
      </c>
      <c r="EK60" t="s">
        <v>196</v>
      </c>
      <c r="EL60" t="s">
        <v>196</v>
      </c>
      <c r="EM60" t="s">
        <v>196</v>
      </c>
      <c r="EN60" t="s">
        <v>196</v>
      </c>
      <c r="EO60" t="s">
        <v>196</v>
      </c>
      <c r="EP60" t="str">
        <f t="shared" si="1"/>
        <v>Inactive</v>
      </c>
    </row>
    <row r="61" spans="1:146">
      <c r="A61" t="s">
        <v>3</v>
      </c>
      <c r="B61" t="s">
        <v>904</v>
      </c>
      <c r="C61" t="s">
        <v>10</v>
      </c>
      <c r="D61" t="s">
        <v>172</v>
      </c>
      <c r="E61" t="s">
        <v>6</v>
      </c>
      <c r="F61" t="s">
        <v>196</v>
      </c>
      <c r="G61" t="s">
        <v>196</v>
      </c>
      <c r="H61" t="s">
        <v>196</v>
      </c>
      <c r="I61" t="s">
        <v>196</v>
      </c>
      <c r="J61" t="s">
        <v>196</v>
      </c>
      <c r="K61" t="s">
        <v>196</v>
      </c>
      <c r="L61" t="s">
        <v>196</v>
      </c>
      <c r="M61" t="s">
        <v>196</v>
      </c>
      <c r="N61" t="s">
        <v>196</v>
      </c>
      <c r="O61" t="s">
        <v>196</v>
      </c>
      <c r="P61" t="s">
        <v>196</v>
      </c>
      <c r="Q61" t="s">
        <v>196</v>
      </c>
      <c r="R61" t="s">
        <v>196</v>
      </c>
      <c r="S61" t="s">
        <v>196</v>
      </c>
      <c r="T61" t="s">
        <v>196</v>
      </c>
      <c r="U61" t="s">
        <v>196</v>
      </c>
      <c r="V61" t="s">
        <v>184</v>
      </c>
      <c r="W61">
        <v>95714</v>
      </c>
      <c r="X61" t="s">
        <v>905</v>
      </c>
      <c r="Y61" t="s">
        <v>906</v>
      </c>
      <c r="Z61" t="s">
        <v>196</v>
      </c>
      <c r="AA61">
        <v>95816</v>
      </c>
      <c r="AB61" t="s">
        <v>188</v>
      </c>
      <c r="AC61" t="s">
        <v>907</v>
      </c>
      <c r="AD61" t="s">
        <v>908</v>
      </c>
      <c r="AE61" t="s">
        <v>1399</v>
      </c>
      <c r="AF61" t="s">
        <v>1400</v>
      </c>
      <c r="AG61" t="s">
        <v>196</v>
      </c>
      <c r="AH61" t="s">
        <v>911</v>
      </c>
      <c r="AI61">
        <v>20241104</v>
      </c>
      <c r="AJ61">
        <v>20241202</v>
      </c>
      <c r="AK61" t="s">
        <v>196</v>
      </c>
      <c r="AL61">
        <v>20241211</v>
      </c>
      <c r="AM61" t="s">
        <v>912</v>
      </c>
      <c r="AN61" t="s">
        <v>196</v>
      </c>
      <c r="AO61" t="s">
        <v>196</v>
      </c>
      <c r="AP61" t="s">
        <v>196</v>
      </c>
      <c r="AQ61" t="s">
        <v>196</v>
      </c>
      <c r="AR61" t="s">
        <v>196</v>
      </c>
      <c r="AS61" t="s">
        <v>196</v>
      </c>
      <c r="AT61" t="s">
        <v>196</v>
      </c>
      <c r="AU61" t="s">
        <v>196</v>
      </c>
      <c r="AV61" t="s">
        <v>196</v>
      </c>
      <c r="AW61" t="s">
        <v>196</v>
      </c>
      <c r="AX61" t="s">
        <v>196</v>
      </c>
      <c r="AY61" t="s">
        <v>196</v>
      </c>
      <c r="AZ61" t="s">
        <v>196</v>
      </c>
      <c r="BA61" t="s">
        <v>196</v>
      </c>
      <c r="BB61" t="s">
        <v>196</v>
      </c>
      <c r="BC61" t="s">
        <v>196</v>
      </c>
      <c r="BD61" s="1" t="s">
        <v>196</v>
      </c>
      <c r="BE61" s="1" t="s">
        <v>196</v>
      </c>
      <c r="BF61" t="s">
        <v>196</v>
      </c>
      <c r="BG61" t="s">
        <v>196</v>
      </c>
      <c r="BH61" t="s">
        <v>196</v>
      </c>
      <c r="BI61" t="s">
        <v>196</v>
      </c>
      <c r="BJ61" t="s">
        <v>196</v>
      </c>
      <c r="BK61" t="s">
        <v>196</v>
      </c>
      <c r="BL61" t="s">
        <v>196</v>
      </c>
      <c r="BM61" t="s">
        <v>196</v>
      </c>
      <c r="BN61" t="s">
        <v>196</v>
      </c>
      <c r="BO61" t="s">
        <v>196</v>
      </c>
      <c r="BP61" t="s">
        <v>196</v>
      </c>
      <c r="BQ61" t="s">
        <v>196</v>
      </c>
      <c r="BR61" t="s">
        <v>196</v>
      </c>
      <c r="BS61" t="s">
        <v>196</v>
      </c>
      <c r="BT61" t="s">
        <v>196</v>
      </c>
      <c r="BU61" t="s">
        <v>196</v>
      </c>
      <c r="BV61" t="s">
        <v>196</v>
      </c>
      <c r="BW61" t="s">
        <v>196</v>
      </c>
      <c r="BX61" t="s">
        <v>196</v>
      </c>
      <c r="BY61" t="s">
        <v>196</v>
      </c>
      <c r="BZ61" t="s">
        <v>196</v>
      </c>
      <c r="CA61" t="s">
        <v>196</v>
      </c>
      <c r="CB61" t="s">
        <v>196</v>
      </c>
      <c r="CC61" t="s">
        <v>196</v>
      </c>
      <c r="CD61" t="s">
        <v>196</v>
      </c>
      <c r="CE61" t="s">
        <v>196</v>
      </c>
      <c r="CF61" t="s">
        <v>196</v>
      </c>
      <c r="CG61" t="s">
        <v>196</v>
      </c>
      <c r="CH61" t="s">
        <v>196</v>
      </c>
      <c r="CI61" t="s">
        <v>196</v>
      </c>
      <c r="CJ61" t="s">
        <v>196</v>
      </c>
      <c r="CK61" t="s">
        <v>196</v>
      </c>
      <c r="CL61" t="s">
        <v>196</v>
      </c>
      <c r="CM61" t="s">
        <v>196</v>
      </c>
      <c r="CN61" t="s">
        <v>196</v>
      </c>
      <c r="CO61" s="1" t="s">
        <v>196</v>
      </c>
      <c r="CP61" s="1" t="s">
        <v>196</v>
      </c>
      <c r="CQ61" t="s">
        <v>196</v>
      </c>
      <c r="CR61" t="s">
        <v>196</v>
      </c>
      <c r="CS61" t="s">
        <v>196</v>
      </c>
      <c r="CT61" t="s">
        <v>196</v>
      </c>
      <c r="CU61" t="s">
        <v>196</v>
      </c>
      <c r="CV61" t="s">
        <v>196</v>
      </c>
      <c r="CW61" t="s">
        <v>196</v>
      </c>
      <c r="CX61" t="s">
        <v>196</v>
      </c>
      <c r="CY61" t="s">
        <v>196</v>
      </c>
      <c r="CZ61" t="s">
        <v>196</v>
      </c>
      <c r="DA61" t="s">
        <v>196</v>
      </c>
      <c r="DB61" t="s">
        <v>196</v>
      </c>
      <c r="DC61" t="s">
        <v>196</v>
      </c>
      <c r="DD61" t="s">
        <v>196</v>
      </c>
      <c r="DE61" t="s">
        <v>196</v>
      </c>
      <c r="DF61" t="s">
        <v>196</v>
      </c>
      <c r="DG61" t="s">
        <v>196</v>
      </c>
      <c r="DH61" t="s">
        <v>196</v>
      </c>
      <c r="DI61" t="s">
        <v>196</v>
      </c>
      <c r="DJ61" t="s">
        <v>196</v>
      </c>
      <c r="DK61" t="s">
        <v>196</v>
      </c>
      <c r="DL61" t="s">
        <v>196</v>
      </c>
      <c r="DM61" t="s">
        <v>196</v>
      </c>
      <c r="DN61" t="s">
        <v>196</v>
      </c>
      <c r="DO61" t="s">
        <v>196</v>
      </c>
      <c r="DP61" t="s">
        <v>196</v>
      </c>
      <c r="DQ61" t="s">
        <v>196</v>
      </c>
      <c r="DR61" t="s">
        <v>196</v>
      </c>
      <c r="DS61" t="s">
        <v>196</v>
      </c>
      <c r="DT61" t="s">
        <v>196</v>
      </c>
      <c r="DU61" t="s">
        <v>196</v>
      </c>
      <c r="DV61" t="s">
        <v>196</v>
      </c>
      <c r="DW61" t="s">
        <v>196</v>
      </c>
      <c r="DX61" t="s">
        <v>196</v>
      </c>
      <c r="DY61" t="s">
        <v>196</v>
      </c>
      <c r="DZ61" t="s">
        <v>196</v>
      </c>
      <c r="EA61" t="s">
        <v>196</v>
      </c>
      <c r="EB61" t="s">
        <v>196</v>
      </c>
      <c r="EC61" t="s">
        <v>196</v>
      </c>
      <c r="ED61" t="s">
        <v>196</v>
      </c>
      <c r="EE61" t="s">
        <v>196</v>
      </c>
      <c r="EF61" t="s">
        <v>196</v>
      </c>
      <c r="EG61" t="s">
        <v>196</v>
      </c>
      <c r="EH61" t="s">
        <v>196</v>
      </c>
      <c r="EI61" t="s">
        <v>196</v>
      </c>
      <c r="EJ61" t="s">
        <v>196</v>
      </c>
      <c r="EK61" t="s">
        <v>196</v>
      </c>
      <c r="EL61" t="s">
        <v>196</v>
      </c>
      <c r="EM61" t="s">
        <v>196</v>
      </c>
      <c r="EN61" t="s">
        <v>196</v>
      </c>
      <c r="EO61" t="s">
        <v>196</v>
      </c>
      <c r="EP61" t="str">
        <f t="shared" si="1"/>
        <v>Active</v>
      </c>
    </row>
    <row r="62" spans="1:146">
      <c r="A62" t="s">
        <v>4</v>
      </c>
      <c r="B62" t="s">
        <v>171</v>
      </c>
      <c r="C62" t="s">
        <v>18</v>
      </c>
      <c r="D62" t="s">
        <v>172</v>
      </c>
      <c r="E62" t="s">
        <v>6</v>
      </c>
      <c r="F62" t="s">
        <v>173</v>
      </c>
      <c r="G62" t="s">
        <v>336</v>
      </c>
      <c r="H62" t="s">
        <v>175</v>
      </c>
      <c r="I62" t="s">
        <v>176</v>
      </c>
      <c r="J62" t="s">
        <v>337</v>
      </c>
      <c r="K62" t="s">
        <v>178</v>
      </c>
      <c r="L62" t="s">
        <v>179</v>
      </c>
      <c r="M62" t="s">
        <v>175</v>
      </c>
      <c r="N62">
        <v>705934</v>
      </c>
      <c r="O62" t="s">
        <v>196</v>
      </c>
      <c r="P62" t="s">
        <v>338</v>
      </c>
      <c r="Q62" t="s">
        <v>339</v>
      </c>
      <c r="R62" t="s">
        <v>340</v>
      </c>
      <c r="S62" t="b">
        <v>1</v>
      </c>
      <c r="T62" t="s">
        <v>183</v>
      </c>
      <c r="U62">
        <v>41100587206</v>
      </c>
      <c r="V62" t="s">
        <v>184</v>
      </c>
      <c r="W62">
        <v>88677</v>
      </c>
      <c r="X62" t="s">
        <v>185</v>
      </c>
      <c r="Y62" t="s">
        <v>186</v>
      </c>
      <c r="Z62" t="s">
        <v>16</v>
      </c>
      <c r="AA62" t="s">
        <v>187</v>
      </c>
      <c r="AB62" t="s">
        <v>188</v>
      </c>
      <c r="AC62" t="s">
        <v>189</v>
      </c>
      <c r="AD62" t="s">
        <v>190</v>
      </c>
      <c r="AE62" t="s">
        <v>1401</v>
      </c>
      <c r="AF62" t="s">
        <v>1402</v>
      </c>
      <c r="AG62" t="s">
        <v>343</v>
      </c>
      <c r="AH62" t="s">
        <v>194</v>
      </c>
      <c r="AI62">
        <v>20211001</v>
      </c>
      <c r="AJ62">
        <v>20211118</v>
      </c>
      <c r="AK62">
        <v>20230626</v>
      </c>
      <c r="AL62">
        <v>20211124</v>
      </c>
      <c r="AM62" t="s">
        <v>1403</v>
      </c>
      <c r="AN62" t="s">
        <v>196</v>
      </c>
      <c r="AO62" t="s">
        <v>196</v>
      </c>
      <c r="AP62" t="s">
        <v>196</v>
      </c>
      <c r="AQ62" t="s">
        <v>196</v>
      </c>
      <c r="AR62" t="s">
        <v>345</v>
      </c>
      <c r="AS62" t="s">
        <v>196</v>
      </c>
      <c r="AT62" t="s">
        <v>196</v>
      </c>
      <c r="AU62" t="s">
        <v>196</v>
      </c>
      <c r="AV62" t="s">
        <v>196</v>
      </c>
      <c r="AW62" t="s">
        <v>196</v>
      </c>
      <c r="AX62" t="s">
        <v>196</v>
      </c>
      <c r="AY62" t="s">
        <v>196</v>
      </c>
      <c r="AZ62" t="s">
        <v>196</v>
      </c>
      <c r="BA62" t="s">
        <v>196</v>
      </c>
      <c r="BB62" t="s">
        <v>196</v>
      </c>
      <c r="BC62" t="s">
        <v>196</v>
      </c>
      <c r="BD62" s="1" t="s">
        <v>196</v>
      </c>
      <c r="BE62" s="1" t="s">
        <v>196</v>
      </c>
      <c r="BF62" t="s">
        <v>196</v>
      </c>
      <c r="BG62" t="s">
        <v>196</v>
      </c>
      <c r="BH62" t="s">
        <v>196</v>
      </c>
      <c r="BI62" t="s">
        <v>196</v>
      </c>
      <c r="BJ62" t="s">
        <v>196</v>
      </c>
      <c r="BK62" t="s">
        <v>196</v>
      </c>
      <c r="BL62" t="s">
        <v>196</v>
      </c>
      <c r="BM62" t="s">
        <v>196</v>
      </c>
      <c r="BN62" t="s">
        <v>196</v>
      </c>
      <c r="BO62" t="s">
        <v>196</v>
      </c>
      <c r="BP62" t="s">
        <v>196</v>
      </c>
      <c r="BQ62" t="s">
        <v>196</v>
      </c>
      <c r="BR62" t="s">
        <v>196</v>
      </c>
      <c r="BS62" t="s">
        <v>196</v>
      </c>
      <c r="BT62" t="s">
        <v>196</v>
      </c>
      <c r="BU62" t="s">
        <v>196</v>
      </c>
      <c r="BV62" t="s">
        <v>196</v>
      </c>
      <c r="BW62" t="s">
        <v>196</v>
      </c>
      <c r="BX62" t="s">
        <v>196</v>
      </c>
      <c r="BY62" t="s">
        <v>196</v>
      </c>
      <c r="BZ62" t="s">
        <v>196</v>
      </c>
      <c r="CA62" t="s">
        <v>196</v>
      </c>
      <c r="CB62" t="s">
        <v>196</v>
      </c>
      <c r="CC62" t="s">
        <v>196</v>
      </c>
      <c r="CD62" t="s">
        <v>196</v>
      </c>
      <c r="CE62" t="s">
        <v>196</v>
      </c>
      <c r="CF62" t="s">
        <v>196</v>
      </c>
      <c r="CG62" t="s">
        <v>196</v>
      </c>
      <c r="CH62" t="s">
        <v>196</v>
      </c>
      <c r="CI62" t="s">
        <v>196</v>
      </c>
      <c r="CJ62" t="s">
        <v>196</v>
      </c>
      <c r="CK62" t="s">
        <v>196</v>
      </c>
      <c r="CL62" t="s">
        <v>196</v>
      </c>
      <c r="CM62" t="s">
        <v>196</v>
      </c>
      <c r="CN62" t="s">
        <v>196</v>
      </c>
      <c r="CO62" s="1" t="s">
        <v>196</v>
      </c>
      <c r="CP62" s="1" t="s">
        <v>196</v>
      </c>
      <c r="CQ62" t="s">
        <v>196</v>
      </c>
      <c r="CR62" t="s">
        <v>196</v>
      </c>
      <c r="CS62" t="s">
        <v>196</v>
      </c>
      <c r="CT62" t="s">
        <v>196</v>
      </c>
      <c r="CU62" t="s">
        <v>196</v>
      </c>
      <c r="CV62" t="s">
        <v>196</v>
      </c>
      <c r="CW62" t="s">
        <v>196</v>
      </c>
      <c r="CX62" t="s">
        <v>196</v>
      </c>
      <c r="CY62" t="s">
        <v>196</v>
      </c>
      <c r="CZ62" t="s">
        <v>196</v>
      </c>
      <c r="DA62" t="s">
        <v>196</v>
      </c>
      <c r="DB62" t="s">
        <v>196</v>
      </c>
      <c r="DC62" t="s">
        <v>196</v>
      </c>
      <c r="DD62" t="s">
        <v>196</v>
      </c>
      <c r="DE62" t="s">
        <v>196</v>
      </c>
      <c r="DF62" t="s">
        <v>196</v>
      </c>
      <c r="DG62" t="s">
        <v>196</v>
      </c>
      <c r="DH62" t="s">
        <v>196</v>
      </c>
      <c r="DI62" t="s">
        <v>196</v>
      </c>
      <c r="DJ62" t="s">
        <v>196</v>
      </c>
      <c r="DK62" t="s">
        <v>196</v>
      </c>
      <c r="DL62" t="s">
        <v>196</v>
      </c>
      <c r="DM62" t="s">
        <v>196</v>
      </c>
      <c r="DN62" t="s">
        <v>196</v>
      </c>
      <c r="DO62" t="s">
        <v>196</v>
      </c>
      <c r="DP62" t="s">
        <v>196</v>
      </c>
      <c r="DQ62" t="s">
        <v>196</v>
      </c>
      <c r="DR62" t="s">
        <v>196</v>
      </c>
      <c r="DS62" t="s">
        <v>196</v>
      </c>
      <c r="DT62" t="s">
        <v>196</v>
      </c>
      <c r="DU62" t="s">
        <v>196</v>
      </c>
      <c r="DV62" t="s">
        <v>196</v>
      </c>
      <c r="DW62" t="s">
        <v>196</v>
      </c>
      <c r="DX62" t="s">
        <v>196</v>
      </c>
      <c r="DY62" t="s">
        <v>196</v>
      </c>
      <c r="DZ62" t="s">
        <v>196</v>
      </c>
      <c r="EA62" t="s">
        <v>196</v>
      </c>
      <c r="EB62" t="s">
        <v>196</v>
      </c>
      <c r="EC62" t="s">
        <v>196</v>
      </c>
      <c r="ED62" t="s">
        <v>196</v>
      </c>
      <c r="EE62" t="s">
        <v>196</v>
      </c>
      <c r="EF62" t="s">
        <v>196</v>
      </c>
      <c r="EG62" t="s">
        <v>196</v>
      </c>
      <c r="EH62" t="s">
        <v>196</v>
      </c>
      <c r="EI62" t="s">
        <v>196</v>
      </c>
      <c r="EJ62" t="s">
        <v>196</v>
      </c>
      <c r="EK62" t="s">
        <v>196</v>
      </c>
      <c r="EL62" t="s">
        <v>196</v>
      </c>
      <c r="EM62" t="s">
        <v>196</v>
      </c>
      <c r="EN62" t="s">
        <v>196</v>
      </c>
      <c r="EO62" t="s">
        <v>196</v>
      </c>
      <c r="EP62" t="str">
        <f t="shared" si="1"/>
        <v>Inactive</v>
      </c>
    </row>
    <row r="63" spans="1:146">
      <c r="A63" t="s">
        <v>4</v>
      </c>
      <c r="B63" t="s">
        <v>996</v>
      </c>
      <c r="C63" t="s">
        <v>11</v>
      </c>
      <c r="D63" t="s">
        <v>172</v>
      </c>
      <c r="E63" t="s">
        <v>7</v>
      </c>
      <c r="F63" t="s">
        <v>1373</v>
      </c>
      <c r="G63" t="s">
        <v>1374</v>
      </c>
      <c r="H63" t="s">
        <v>1375</v>
      </c>
      <c r="I63" t="s">
        <v>1000</v>
      </c>
      <c r="J63" t="s">
        <v>1376</v>
      </c>
      <c r="K63" t="s">
        <v>212</v>
      </c>
      <c r="L63" t="s">
        <v>1002</v>
      </c>
      <c r="M63" t="s">
        <v>1375</v>
      </c>
      <c r="N63" t="s">
        <v>196</v>
      </c>
      <c r="O63" t="s">
        <v>196</v>
      </c>
      <c r="P63" t="s">
        <v>1377</v>
      </c>
      <c r="Q63" t="s">
        <v>1378</v>
      </c>
      <c r="R63" t="s">
        <v>1379</v>
      </c>
      <c r="S63" t="b">
        <v>1</v>
      </c>
      <c r="T63" t="s">
        <v>1380</v>
      </c>
      <c r="U63" t="s">
        <v>196</v>
      </c>
      <c r="V63" t="s">
        <v>184</v>
      </c>
      <c r="W63">
        <v>75450</v>
      </c>
      <c r="X63" t="s">
        <v>1381</v>
      </c>
      <c r="Y63" t="s">
        <v>1382</v>
      </c>
      <c r="Z63" t="s">
        <v>196</v>
      </c>
      <c r="AA63" t="s">
        <v>1010</v>
      </c>
      <c r="AB63" t="s">
        <v>188</v>
      </c>
      <c r="AC63" t="s">
        <v>201</v>
      </c>
      <c r="AD63" t="s">
        <v>1383</v>
      </c>
      <c r="AE63" t="s">
        <v>1404</v>
      </c>
      <c r="AF63" t="s">
        <v>1405</v>
      </c>
      <c r="AG63" t="s">
        <v>1406</v>
      </c>
      <c r="AH63" t="s">
        <v>1387</v>
      </c>
      <c r="AI63">
        <v>20160822</v>
      </c>
      <c r="AJ63">
        <v>20170110</v>
      </c>
      <c r="AK63">
        <v>20190320</v>
      </c>
      <c r="AL63">
        <v>20170118</v>
      </c>
      <c r="AM63" t="s">
        <v>1407</v>
      </c>
      <c r="AN63" t="s">
        <v>196</v>
      </c>
      <c r="AO63" t="s">
        <v>1389</v>
      </c>
      <c r="AP63" t="s">
        <v>1390</v>
      </c>
      <c r="AQ63" t="s">
        <v>196</v>
      </c>
      <c r="AR63" t="s">
        <v>1391</v>
      </c>
      <c r="AS63" t="s">
        <v>1392</v>
      </c>
      <c r="AT63" t="s">
        <v>1393</v>
      </c>
      <c r="AU63" t="s">
        <v>196</v>
      </c>
      <c r="AV63" t="s">
        <v>196</v>
      </c>
      <c r="AW63" t="s">
        <v>196</v>
      </c>
      <c r="AX63" t="s">
        <v>196</v>
      </c>
      <c r="AY63" t="s">
        <v>196</v>
      </c>
      <c r="AZ63" t="s">
        <v>196</v>
      </c>
      <c r="BA63" t="s">
        <v>196</v>
      </c>
      <c r="BB63" t="s">
        <v>196</v>
      </c>
      <c r="BC63" t="s">
        <v>196</v>
      </c>
      <c r="BD63" s="1" t="s">
        <v>196</v>
      </c>
      <c r="BE63" s="1" t="s">
        <v>196</v>
      </c>
      <c r="BF63" t="s">
        <v>1394</v>
      </c>
      <c r="BG63" t="s">
        <v>196</v>
      </c>
      <c r="BH63" t="s">
        <v>196</v>
      </c>
      <c r="BI63" t="s">
        <v>196</v>
      </c>
      <c r="BJ63" t="s">
        <v>196</v>
      </c>
      <c r="BK63" t="s">
        <v>196</v>
      </c>
      <c r="BL63" t="s">
        <v>196</v>
      </c>
      <c r="BM63" t="s">
        <v>196</v>
      </c>
      <c r="BN63" t="s">
        <v>196</v>
      </c>
      <c r="BO63" t="s">
        <v>196</v>
      </c>
      <c r="BP63" t="s">
        <v>196</v>
      </c>
      <c r="BQ63" t="s">
        <v>1395</v>
      </c>
      <c r="BR63" t="s">
        <v>1396</v>
      </c>
      <c r="BS63" t="s">
        <v>196</v>
      </c>
      <c r="BT63" t="s">
        <v>1397</v>
      </c>
      <c r="BU63" t="s">
        <v>196</v>
      </c>
      <c r="BV63" t="s">
        <v>196</v>
      </c>
      <c r="BW63" t="s">
        <v>196</v>
      </c>
      <c r="BX63" t="s">
        <v>196</v>
      </c>
      <c r="BY63" t="s">
        <v>196</v>
      </c>
      <c r="BZ63" t="s">
        <v>196</v>
      </c>
      <c r="CA63" t="s">
        <v>196</v>
      </c>
      <c r="CB63" t="s">
        <v>196</v>
      </c>
      <c r="CC63" t="s">
        <v>196</v>
      </c>
      <c r="CD63" t="s">
        <v>196</v>
      </c>
      <c r="CE63" t="s">
        <v>196</v>
      </c>
      <c r="CF63" t="s">
        <v>196</v>
      </c>
      <c r="CG63" t="s">
        <v>196</v>
      </c>
      <c r="CH63" t="s">
        <v>196</v>
      </c>
      <c r="CI63" t="s">
        <v>196</v>
      </c>
      <c r="CJ63" t="s">
        <v>196</v>
      </c>
      <c r="CK63" t="s">
        <v>196</v>
      </c>
      <c r="CL63" t="s">
        <v>196</v>
      </c>
      <c r="CM63" t="s">
        <v>196</v>
      </c>
      <c r="CN63" t="s">
        <v>196</v>
      </c>
      <c r="CO63" s="1" t="s">
        <v>196</v>
      </c>
      <c r="CP63" s="1" t="s">
        <v>196</v>
      </c>
      <c r="CQ63" t="s">
        <v>196</v>
      </c>
      <c r="CR63" t="s">
        <v>196</v>
      </c>
      <c r="CS63" t="s">
        <v>196</v>
      </c>
      <c r="CT63" t="s">
        <v>196</v>
      </c>
      <c r="CU63" t="s">
        <v>196</v>
      </c>
      <c r="CV63" t="s">
        <v>196</v>
      </c>
      <c r="CW63" t="s">
        <v>196</v>
      </c>
      <c r="CX63" t="s">
        <v>196</v>
      </c>
      <c r="CY63" t="s">
        <v>196</v>
      </c>
      <c r="CZ63" t="s">
        <v>196</v>
      </c>
      <c r="DA63" t="s">
        <v>1398</v>
      </c>
      <c r="DB63" t="s">
        <v>196</v>
      </c>
      <c r="DC63" t="s">
        <v>196</v>
      </c>
      <c r="DD63" t="s">
        <v>196</v>
      </c>
      <c r="DE63" t="s">
        <v>196</v>
      </c>
      <c r="DF63" t="s">
        <v>196</v>
      </c>
      <c r="DG63" t="s">
        <v>196</v>
      </c>
      <c r="DH63" t="s">
        <v>196</v>
      </c>
      <c r="DI63" t="s">
        <v>196</v>
      </c>
      <c r="DJ63" t="s">
        <v>196</v>
      </c>
      <c r="DK63" t="s">
        <v>196</v>
      </c>
      <c r="DL63" t="s">
        <v>196</v>
      </c>
      <c r="DM63" t="s">
        <v>196</v>
      </c>
      <c r="DN63" t="s">
        <v>196</v>
      </c>
      <c r="DO63" t="s">
        <v>196</v>
      </c>
      <c r="DP63" t="s">
        <v>196</v>
      </c>
      <c r="DQ63" t="s">
        <v>196</v>
      </c>
      <c r="DR63" t="s">
        <v>196</v>
      </c>
      <c r="DS63" t="s">
        <v>196</v>
      </c>
      <c r="DT63" t="s">
        <v>196</v>
      </c>
      <c r="DU63" t="s">
        <v>196</v>
      </c>
      <c r="DV63" t="s">
        <v>196</v>
      </c>
      <c r="DW63" t="s">
        <v>196</v>
      </c>
      <c r="DX63" t="s">
        <v>196</v>
      </c>
      <c r="DY63" t="s">
        <v>196</v>
      </c>
      <c r="DZ63" t="s">
        <v>196</v>
      </c>
      <c r="EA63" t="s">
        <v>196</v>
      </c>
      <c r="EB63" t="s">
        <v>196</v>
      </c>
      <c r="EC63" t="s">
        <v>196</v>
      </c>
      <c r="ED63" t="s">
        <v>196</v>
      </c>
      <c r="EE63" t="s">
        <v>196</v>
      </c>
      <c r="EF63" t="s">
        <v>196</v>
      </c>
      <c r="EG63" t="s">
        <v>196</v>
      </c>
      <c r="EH63" t="s">
        <v>196</v>
      </c>
      <c r="EI63" t="s">
        <v>196</v>
      </c>
      <c r="EJ63" t="s">
        <v>196</v>
      </c>
      <c r="EK63" t="s">
        <v>196</v>
      </c>
      <c r="EL63" t="s">
        <v>196</v>
      </c>
      <c r="EM63" t="s">
        <v>196</v>
      </c>
      <c r="EN63" t="s">
        <v>196</v>
      </c>
      <c r="EO63" t="s">
        <v>196</v>
      </c>
      <c r="EP63" t="str">
        <f t="shared" si="1"/>
        <v>Inactive</v>
      </c>
    </row>
    <row r="64" spans="1:146">
      <c r="A64" t="s">
        <v>3</v>
      </c>
      <c r="B64" t="s">
        <v>904</v>
      </c>
      <c r="C64" t="s">
        <v>10</v>
      </c>
      <c r="D64" t="s">
        <v>172</v>
      </c>
      <c r="E64" t="s">
        <v>6</v>
      </c>
      <c r="F64" t="s">
        <v>196</v>
      </c>
      <c r="G64" t="s">
        <v>196</v>
      </c>
      <c r="H64" t="s">
        <v>196</v>
      </c>
      <c r="I64" t="s">
        <v>196</v>
      </c>
      <c r="J64" t="s">
        <v>196</v>
      </c>
      <c r="K64" t="s">
        <v>196</v>
      </c>
      <c r="L64" t="s">
        <v>196</v>
      </c>
      <c r="M64" t="s">
        <v>196</v>
      </c>
      <c r="N64" t="s">
        <v>196</v>
      </c>
      <c r="O64" t="s">
        <v>196</v>
      </c>
      <c r="P64" t="s">
        <v>196</v>
      </c>
      <c r="Q64" t="s">
        <v>196</v>
      </c>
      <c r="R64" t="s">
        <v>196</v>
      </c>
      <c r="S64" t="s">
        <v>196</v>
      </c>
      <c r="T64" t="s">
        <v>196</v>
      </c>
      <c r="U64" t="s">
        <v>196</v>
      </c>
      <c r="V64" t="s">
        <v>184</v>
      </c>
      <c r="W64">
        <v>95714</v>
      </c>
      <c r="X64" t="s">
        <v>905</v>
      </c>
      <c r="Y64" t="s">
        <v>906</v>
      </c>
      <c r="Z64" t="s">
        <v>196</v>
      </c>
      <c r="AA64">
        <v>95816</v>
      </c>
      <c r="AB64" t="s">
        <v>188</v>
      </c>
      <c r="AC64" t="s">
        <v>907</v>
      </c>
      <c r="AD64" t="s">
        <v>908</v>
      </c>
      <c r="AE64" t="s">
        <v>1408</v>
      </c>
      <c r="AF64" t="s">
        <v>1409</v>
      </c>
      <c r="AG64" t="s">
        <v>196</v>
      </c>
      <c r="AH64" t="s">
        <v>911</v>
      </c>
      <c r="AI64">
        <v>20241104</v>
      </c>
      <c r="AJ64">
        <v>20241202</v>
      </c>
      <c r="AK64" t="s">
        <v>196</v>
      </c>
      <c r="AL64">
        <v>20241211</v>
      </c>
      <c r="AM64" t="s">
        <v>1410</v>
      </c>
      <c r="AN64" t="s">
        <v>196</v>
      </c>
      <c r="AO64" t="s">
        <v>196</v>
      </c>
      <c r="AP64" t="s">
        <v>196</v>
      </c>
      <c r="AQ64" t="s">
        <v>196</v>
      </c>
      <c r="AR64" t="s">
        <v>196</v>
      </c>
      <c r="AS64" t="s">
        <v>196</v>
      </c>
      <c r="AT64" t="s">
        <v>196</v>
      </c>
      <c r="AU64" t="s">
        <v>196</v>
      </c>
      <c r="AV64" t="s">
        <v>196</v>
      </c>
      <c r="AW64" t="s">
        <v>196</v>
      </c>
      <c r="AX64" t="s">
        <v>196</v>
      </c>
      <c r="AY64" t="s">
        <v>196</v>
      </c>
      <c r="AZ64" t="s">
        <v>196</v>
      </c>
      <c r="BA64" t="s">
        <v>196</v>
      </c>
      <c r="BB64" t="s">
        <v>196</v>
      </c>
      <c r="BC64" t="s">
        <v>196</v>
      </c>
      <c r="BD64" s="1" t="s">
        <v>196</v>
      </c>
      <c r="BE64" s="1" t="s">
        <v>196</v>
      </c>
      <c r="BF64" t="s">
        <v>196</v>
      </c>
      <c r="BG64" t="s">
        <v>196</v>
      </c>
      <c r="BH64" t="s">
        <v>196</v>
      </c>
      <c r="BI64" t="s">
        <v>196</v>
      </c>
      <c r="BJ64" t="s">
        <v>196</v>
      </c>
      <c r="BK64" t="s">
        <v>196</v>
      </c>
      <c r="BL64" t="s">
        <v>196</v>
      </c>
      <c r="BM64" t="s">
        <v>196</v>
      </c>
      <c r="BN64" t="s">
        <v>196</v>
      </c>
      <c r="BO64" t="s">
        <v>196</v>
      </c>
      <c r="BP64" t="s">
        <v>196</v>
      </c>
      <c r="BQ64" t="s">
        <v>196</v>
      </c>
      <c r="BR64" t="s">
        <v>196</v>
      </c>
      <c r="BS64" t="s">
        <v>196</v>
      </c>
      <c r="BT64" t="s">
        <v>196</v>
      </c>
      <c r="BU64" t="s">
        <v>196</v>
      </c>
      <c r="BV64" t="s">
        <v>196</v>
      </c>
      <c r="BW64" t="s">
        <v>196</v>
      </c>
      <c r="BX64" t="s">
        <v>196</v>
      </c>
      <c r="BY64" t="s">
        <v>196</v>
      </c>
      <c r="BZ64" t="s">
        <v>196</v>
      </c>
      <c r="CA64" t="s">
        <v>196</v>
      </c>
      <c r="CB64" t="s">
        <v>196</v>
      </c>
      <c r="CC64" t="s">
        <v>196</v>
      </c>
      <c r="CD64" t="s">
        <v>196</v>
      </c>
      <c r="CE64" t="s">
        <v>196</v>
      </c>
      <c r="CF64" t="s">
        <v>196</v>
      </c>
      <c r="CG64" t="s">
        <v>196</v>
      </c>
      <c r="CH64" t="s">
        <v>196</v>
      </c>
      <c r="CI64" t="s">
        <v>196</v>
      </c>
      <c r="CJ64" t="s">
        <v>196</v>
      </c>
      <c r="CK64" t="s">
        <v>196</v>
      </c>
      <c r="CL64" t="s">
        <v>196</v>
      </c>
      <c r="CM64" t="s">
        <v>196</v>
      </c>
      <c r="CN64" t="s">
        <v>196</v>
      </c>
      <c r="CO64" s="1" t="s">
        <v>196</v>
      </c>
      <c r="CP64" s="1" t="s">
        <v>196</v>
      </c>
      <c r="CQ64" t="s">
        <v>196</v>
      </c>
      <c r="CR64" t="s">
        <v>196</v>
      </c>
      <c r="CS64" t="s">
        <v>196</v>
      </c>
      <c r="CT64" t="s">
        <v>196</v>
      </c>
      <c r="CU64" t="s">
        <v>196</v>
      </c>
      <c r="CV64" t="s">
        <v>196</v>
      </c>
      <c r="CW64" t="s">
        <v>196</v>
      </c>
      <c r="CX64" t="s">
        <v>196</v>
      </c>
      <c r="CY64" t="s">
        <v>196</v>
      </c>
      <c r="CZ64" t="s">
        <v>196</v>
      </c>
      <c r="DA64" t="s">
        <v>196</v>
      </c>
      <c r="DB64" t="s">
        <v>196</v>
      </c>
      <c r="DC64" t="s">
        <v>196</v>
      </c>
      <c r="DD64" t="s">
        <v>196</v>
      </c>
      <c r="DE64" t="s">
        <v>196</v>
      </c>
      <c r="DF64" t="s">
        <v>196</v>
      </c>
      <c r="DG64" t="s">
        <v>196</v>
      </c>
      <c r="DH64" t="s">
        <v>196</v>
      </c>
      <c r="DI64" t="s">
        <v>196</v>
      </c>
      <c r="DJ64" t="s">
        <v>196</v>
      </c>
      <c r="DK64" t="s">
        <v>196</v>
      </c>
      <c r="DL64" t="s">
        <v>196</v>
      </c>
      <c r="DM64" t="s">
        <v>196</v>
      </c>
      <c r="DN64" t="s">
        <v>196</v>
      </c>
      <c r="DO64" t="s">
        <v>196</v>
      </c>
      <c r="DP64" t="s">
        <v>196</v>
      </c>
      <c r="DQ64" t="s">
        <v>196</v>
      </c>
      <c r="DR64" t="s">
        <v>196</v>
      </c>
      <c r="DS64" t="s">
        <v>196</v>
      </c>
      <c r="DT64" t="s">
        <v>196</v>
      </c>
      <c r="DU64" t="s">
        <v>196</v>
      </c>
      <c r="DV64" t="s">
        <v>196</v>
      </c>
      <c r="DW64" t="s">
        <v>196</v>
      </c>
      <c r="DX64" t="s">
        <v>196</v>
      </c>
      <c r="DY64" t="s">
        <v>196</v>
      </c>
      <c r="DZ64" t="s">
        <v>196</v>
      </c>
      <c r="EA64" t="s">
        <v>196</v>
      </c>
      <c r="EB64" t="s">
        <v>196</v>
      </c>
      <c r="EC64" t="s">
        <v>196</v>
      </c>
      <c r="ED64" t="s">
        <v>196</v>
      </c>
      <c r="EE64" t="s">
        <v>196</v>
      </c>
      <c r="EF64" t="s">
        <v>196</v>
      </c>
      <c r="EG64" t="s">
        <v>196</v>
      </c>
      <c r="EH64" t="s">
        <v>196</v>
      </c>
      <c r="EI64" t="s">
        <v>196</v>
      </c>
      <c r="EJ64" t="s">
        <v>196</v>
      </c>
      <c r="EK64" t="s">
        <v>196</v>
      </c>
      <c r="EL64" t="s">
        <v>196</v>
      </c>
      <c r="EM64" t="s">
        <v>196</v>
      </c>
      <c r="EN64" t="s">
        <v>196</v>
      </c>
      <c r="EO64" t="s">
        <v>196</v>
      </c>
      <c r="EP64" t="str">
        <f t="shared" si="1"/>
        <v>Active</v>
      </c>
    </row>
    <row r="65" spans="1:146">
      <c r="A65" t="s">
        <v>4</v>
      </c>
      <c r="B65" t="s">
        <v>1331</v>
      </c>
      <c r="C65" t="s">
        <v>20</v>
      </c>
      <c r="D65" t="s">
        <v>172</v>
      </c>
      <c r="E65" t="s">
        <v>7</v>
      </c>
      <c r="F65" t="s">
        <v>1411</v>
      </c>
      <c r="G65" t="s">
        <v>1412</v>
      </c>
      <c r="H65" t="s">
        <v>1412</v>
      </c>
      <c r="I65" t="s">
        <v>1413</v>
      </c>
      <c r="J65" t="s">
        <v>1414</v>
      </c>
      <c r="K65" t="s">
        <v>212</v>
      </c>
      <c r="L65" t="s">
        <v>879</v>
      </c>
      <c r="M65" t="s">
        <v>1415</v>
      </c>
      <c r="N65">
        <v>1246288</v>
      </c>
      <c r="O65">
        <v>1246304</v>
      </c>
      <c r="P65" t="s">
        <v>1416</v>
      </c>
      <c r="Q65" t="s">
        <v>1417</v>
      </c>
      <c r="R65" t="s">
        <v>1418</v>
      </c>
      <c r="S65" t="b">
        <v>1</v>
      </c>
      <c r="T65" t="s">
        <v>1419</v>
      </c>
      <c r="U65" t="s">
        <v>196</v>
      </c>
      <c r="V65" t="s">
        <v>184</v>
      </c>
      <c r="W65">
        <v>87512</v>
      </c>
      <c r="X65" t="s">
        <v>1341</v>
      </c>
      <c r="Y65" t="s">
        <v>1342</v>
      </c>
      <c r="Z65" t="s">
        <v>16</v>
      </c>
      <c r="AA65" t="s">
        <v>1343</v>
      </c>
      <c r="AB65" t="s">
        <v>188</v>
      </c>
      <c r="AC65" t="s">
        <v>201</v>
      </c>
      <c r="AD65" t="s">
        <v>1344</v>
      </c>
      <c r="AE65" t="s">
        <v>1420</v>
      </c>
      <c r="AF65" t="s">
        <v>1421</v>
      </c>
      <c r="AG65" t="s">
        <v>1422</v>
      </c>
      <c r="AH65" t="s">
        <v>1348</v>
      </c>
      <c r="AI65">
        <v>20210315</v>
      </c>
      <c r="AJ65">
        <v>20210524</v>
      </c>
      <c r="AK65">
        <v>20240617</v>
      </c>
      <c r="AL65">
        <v>20210602</v>
      </c>
      <c r="AM65" t="s">
        <v>1423</v>
      </c>
      <c r="AN65" t="s">
        <v>196</v>
      </c>
      <c r="AO65" t="s">
        <v>1424</v>
      </c>
      <c r="AP65" t="s">
        <v>196</v>
      </c>
      <c r="AQ65" t="s">
        <v>196</v>
      </c>
      <c r="AR65" t="s">
        <v>1425</v>
      </c>
      <c r="AS65" t="s">
        <v>196</v>
      </c>
      <c r="AT65" t="s">
        <v>196</v>
      </c>
      <c r="AU65" t="s">
        <v>196</v>
      </c>
      <c r="AV65" t="s">
        <v>196</v>
      </c>
      <c r="AW65" t="s">
        <v>196</v>
      </c>
      <c r="AX65" t="s">
        <v>196</v>
      </c>
      <c r="AY65" t="s">
        <v>196</v>
      </c>
      <c r="AZ65" t="s">
        <v>196</v>
      </c>
      <c r="BA65" t="s">
        <v>196</v>
      </c>
      <c r="BB65" t="s">
        <v>196</v>
      </c>
      <c r="BC65" t="s">
        <v>196</v>
      </c>
      <c r="BD65" s="1" t="s">
        <v>196</v>
      </c>
      <c r="BE65" s="1" t="s">
        <v>196</v>
      </c>
      <c r="BF65" t="s">
        <v>196</v>
      </c>
      <c r="BG65" t="s">
        <v>196</v>
      </c>
      <c r="BH65" t="s">
        <v>196</v>
      </c>
      <c r="BI65" t="s">
        <v>196</v>
      </c>
      <c r="BJ65" t="s">
        <v>196</v>
      </c>
      <c r="BK65" t="s">
        <v>196</v>
      </c>
      <c r="BL65" t="s">
        <v>196</v>
      </c>
      <c r="BM65" t="s">
        <v>196</v>
      </c>
      <c r="BN65" t="s">
        <v>196</v>
      </c>
      <c r="BO65" t="s">
        <v>196</v>
      </c>
      <c r="BP65" t="s">
        <v>196</v>
      </c>
      <c r="BQ65" t="s">
        <v>1426</v>
      </c>
      <c r="BR65" t="s">
        <v>1427</v>
      </c>
      <c r="BS65" t="s">
        <v>196</v>
      </c>
      <c r="BT65" t="s">
        <v>1428</v>
      </c>
      <c r="BU65" t="s">
        <v>196</v>
      </c>
      <c r="BV65" t="s">
        <v>196</v>
      </c>
      <c r="BW65" t="s">
        <v>196</v>
      </c>
      <c r="BX65" t="s">
        <v>196</v>
      </c>
      <c r="BY65" t="s">
        <v>196</v>
      </c>
      <c r="BZ65" t="s">
        <v>196</v>
      </c>
      <c r="CA65" t="s">
        <v>196</v>
      </c>
      <c r="CB65" t="s">
        <v>196</v>
      </c>
      <c r="CC65" t="s">
        <v>196</v>
      </c>
      <c r="CD65" t="s">
        <v>196</v>
      </c>
      <c r="CE65" t="s">
        <v>196</v>
      </c>
      <c r="CF65" t="s">
        <v>196</v>
      </c>
      <c r="CG65" t="s">
        <v>196</v>
      </c>
      <c r="CH65" t="s">
        <v>196</v>
      </c>
      <c r="CI65" t="s">
        <v>196</v>
      </c>
      <c r="CJ65" t="s">
        <v>196</v>
      </c>
      <c r="CK65" t="s">
        <v>196</v>
      </c>
      <c r="CL65" t="s">
        <v>196</v>
      </c>
      <c r="CM65" t="s">
        <v>196</v>
      </c>
      <c r="CN65" t="s">
        <v>196</v>
      </c>
      <c r="CO65" s="1" t="s">
        <v>196</v>
      </c>
      <c r="CP65" s="1" t="s">
        <v>196</v>
      </c>
      <c r="CQ65" t="s">
        <v>196</v>
      </c>
      <c r="CR65" t="s">
        <v>196</v>
      </c>
      <c r="CS65" t="s">
        <v>196</v>
      </c>
      <c r="CT65" t="s">
        <v>196</v>
      </c>
      <c r="CU65" t="s">
        <v>196</v>
      </c>
      <c r="CV65" t="s">
        <v>196</v>
      </c>
      <c r="CW65" t="s">
        <v>1429</v>
      </c>
      <c r="CX65" t="s">
        <v>196</v>
      </c>
      <c r="CY65" t="s">
        <v>196</v>
      </c>
      <c r="CZ65" t="s">
        <v>196</v>
      </c>
      <c r="DA65" t="s">
        <v>196</v>
      </c>
      <c r="DB65" t="s">
        <v>196</v>
      </c>
      <c r="DC65" t="s">
        <v>1430</v>
      </c>
      <c r="DD65" t="s">
        <v>196</v>
      </c>
      <c r="DE65" t="s">
        <v>196</v>
      </c>
      <c r="DF65" t="s">
        <v>196</v>
      </c>
      <c r="DG65" t="s">
        <v>196</v>
      </c>
      <c r="DH65" t="s">
        <v>196</v>
      </c>
      <c r="DI65" t="s">
        <v>196</v>
      </c>
      <c r="DJ65" t="s">
        <v>196</v>
      </c>
      <c r="DK65" t="s">
        <v>196</v>
      </c>
      <c r="DL65" t="s">
        <v>196</v>
      </c>
      <c r="DM65" t="s">
        <v>196</v>
      </c>
      <c r="DN65" t="s">
        <v>196</v>
      </c>
      <c r="DO65" t="s">
        <v>196</v>
      </c>
      <c r="DP65" t="s">
        <v>196</v>
      </c>
      <c r="DQ65" t="s">
        <v>196</v>
      </c>
      <c r="DR65" t="s">
        <v>196</v>
      </c>
      <c r="DS65" t="s">
        <v>196</v>
      </c>
      <c r="DT65" t="s">
        <v>196</v>
      </c>
      <c r="DU65" t="s">
        <v>196</v>
      </c>
      <c r="DV65" t="s">
        <v>196</v>
      </c>
      <c r="DW65" t="s">
        <v>196</v>
      </c>
      <c r="DX65" t="s">
        <v>196</v>
      </c>
      <c r="DY65" t="s">
        <v>196</v>
      </c>
      <c r="DZ65" t="s">
        <v>196</v>
      </c>
      <c r="EA65" t="s">
        <v>196</v>
      </c>
      <c r="EB65" t="s">
        <v>1431</v>
      </c>
      <c r="EC65" t="s">
        <v>196</v>
      </c>
      <c r="ED65" t="s">
        <v>196</v>
      </c>
      <c r="EE65" t="s">
        <v>196</v>
      </c>
      <c r="EF65" t="s">
        <v>196</v>
      </c>
      <c r="EG65" t="s">
        <v>196</v>
      </c>
      <c r="EH65" t="s">
        <v>196</v>
      </c>
      <c r="EI65" t="s">
        <v>196</v>
      </c>
      <c r="EJ65" t="s">
        <v>196</v>
      </c>
      <c r="EK65" t="s">
        <v>196</v>
      </c>
      <c r="EL65" t="s">
        <v>196</v>
      </c>
      <c r="EM65" t="s">
        <v>196</v>
      </c>
      <c r="EN65" t="s">
        <v>196</v>
      </c>
      <c r="EO65" t="s">
        <v>196</v>
      </c>
      <c r="EP65" t="str">
        <f t="shared" si="1"/>
        <v>Inactive</v>
      </c>
    </row>
    <row r="66" spans="1:146">
      <c r="A66" t="s">
        <v>3</v>
      </c>
      <c r="B66" t="s">
        <v>207</v>
      </c>
      <c r="C66" t="s">
        <v>18</v>
      </c>
      <c r="D66" t="s">
        <v>172</v>
      </c>
      <c r="E66" t="s">
        <v>7</v>
      </c>
      <c r="F66" t="s">
        <v>208</v>
      </c>
      <c r="G66" t="s">
        <v>209</v>
      </c>
      <c r="H66" t="s">
        <v>209</v>
      </c>
      <c r="I66" t="s">
        <v>210</v>
      </c>
      <c r="J66" t="s">
        <v>211</v>
      </c>
      <c r="K66" t="s">
        <v>212</v>
      </c>
      <c r="L66" t="s">
        <v>213</v>
      </c>
      <c r="M66" t="s">
        <v>214</v>
      </c>
      <c r="N66">
        <v>432400</v>
      </c>
      <c r="O66">
        <v>432401</v>
      </c>
      <c r="P66" t="s">
        <v>215</v>
      </c>
      <c r="Q66" s="1" t="s">
        <v>216</v>
      </c>
      <c r="R66" t="s">
        <v>217</v>
      </c>
      <c r="S66" t="b">
        <v>1</v>
      </c>
      <c r="T66" t="s">
        <v>218</v>
      </c>
      <c r="U66" t="s">
        <v>196</v>
      </c>
      <c r="V66" t="s">
        <v>184</v>
      </c>
      <c r="W66">
        <v>95730</v>
      </c>
      <c r="X66" t="s">
        <v>219</v>
      </c>
      <c r="Y66" t="s">
        <v>220</v>
      </c>
      <c r="Z66" t="s">
        <v>196</v>
      </c>
      <c r="AA66" t="s">
        <v>221</v>
      </c>
      <c r="AB66" t="s">
        <v>188</v>
      </c>
      <c r="AC66" t="s">
        <v>201</v>
      </c>
      <c r="AD66" t="s">
        <v>222</v>
      </c>
      <c r="AE66" t="s">
        <v>1432</v>
      </c>
      <c r="AF66" t="s">
        <v>1433</v>
      </c>
      <c r="AG66" t="s">
        <v>196</v>
      </c>
      <c r="AH66" t="s">
        <v>226</v>
      </c>
      <c r="AI66">
        <v>20241107</v>
      </c>
      <c r="AJ66">
        <v>20241129</v>
      </c>
      <c r="AK66" t="s">
        <v>196</v>
      </c>
      <c r="AL66">
        <v>20241211</v>
      </c>
      <c r="AM66" t="s">
        <v>1434</v>
      </c>
      <c r="AN66" t="s">
        <v>196</v>
      </c>
      <c r="AO66" t="s">
        <v>228</v>
      </c>
      <c r="AP66" t="s">
        <v>229</v>
      </c>
      <c r="AQ66">
        <v>432402</v>
      </c>
      <c r="AR66" t="s">
        <v>230</v>
      </c>
      <c r="AS66" t="s">
        <v>231</v>
      </c>
      <c r="AT66" t="s">
        <v>232</v>
      </c>
      <c r="AU66" t="s">
        <v>233</v>
      </c>
      <c r="AV66" t="s">
        <v>234</v>
      </c>
      <c r="AW66" t="s">
        <v>235</v>
      </c>
      <c r="AX66" t="s">
        <v>236</v>
      </c>
      <c r="AY66" t="s">
        <v>237</v>
      </c>
      <c r="AZ66" t="s">
        <v>238</v>
      </c>
      <c r="BA66" t="s">
        <v>239</v>
      </c>
      <c r="BB66" t="s">
        <v>240</v>
      </c>
      <c r="BC66" t="s">
        <v>196</v>
      </c>
      <c r="BD66" s="1" t="s">
        <v>196</v>
      </c>
      <c r="BE66" s="1" t="s">
        <v>196</v>
      </c>
      <c r="BF66" t="s">
        <v>196</v>
      </c>
      <c r="BG66" t="s">
        <v>196</v>
      </c>
      <c r="BH66" t="s">
        <v>196</v>
      </c>
      <c r="BI66" t="s">
        <v>196</v>
      </c>
      <c r="BJ66" t="s">
        <v>196</v>
      </c>
      <c r="BK66" t="s">
        <v>196</v>
      </c>
      <c r="BL66" t="s">
        <v>196</v>
      </c>
      <c r="BM66" t="s">
        <v>196</v>
      </c>
      <c r="BN66" t="s">
        <v>196</v>
      </c>
      <c r="BO66" t="s">
        <v>196</v>
      </c>
      <c r="BP66" t="s">
        <v>196</v>
      </c>
      <c r="BQ66" t="s">
        <v>196</v>
      </c>
      <c r="BR66" t="s">
        <v>196</v>
      </c>
      <c r="BS66" t="s">
        <v>196</v>
      </c>
      <c r="BT66" t="s">
        <v>196</v>
      </c>
      <c r="BU66" t="s">
        <v>196</v>
      </c>
      <c r="BV66" t="s">
        <v>196</v>
      </c>
      <c r="BW66" t="s">
        <v>196</v>
      </c>
      <c r="BX66" t="s">
        <v>196</v>
      </c>
      <c r="BY66" t="s">
        <v>196</v>
      </c>
      <c r="BZ66" t="s">
        <v>196</v>
      </c>
      <c r="CA66" t="s">
        <v>196</v>
      </c>
      <c r="CB66" t="s">
        <v>196</v>
      </c>
      <c r="CC66" t="s">
        <v>196</v>
      </c>
      <c r="CD66" t="s">
        <v>196</v>
      </c>
      <c r="CE66" t="s">
        <v>196</v>
      </c>
      <c r="CF66" t="s">
        <v>196</v>
      </c>
      <c r="CG66" t="s">
        <v>196</v>
      </c>
      <c r="CH66" t="s">
        <v>196</v>
      </c>
      <c r="CI66" t="s">
        <v>196</v>
      </c>
      <c r="CJ66" t="s">
        <v>196</v>
      </c>
      <c r="CK66" t="s">
        <v>196</v>
      </c>
      <c r="CL66" t="s">
        <v>196</v>
      </c>
      <c r="CM66" t="s">
        <v>196</v>
      </c>
      <c r="CN66" t="s">
        <v>196</v>
      </c>
      <c r="CO66" s="1" t="s">
        <v>196</v>
      </c>
      <c r="CP66" s="1" t="s">
        <v>196</v>
      </c>
      <c r="CQ66" t="s">
        <v>196</v>
      </c>
      <c r="CR66" t="s">
        <v>196</v>
      </c>
      <c r="CS66" t="s">
        <v>196</v>
      </c>
      <c r="CT66" t="s">
        <v>196</v>
      </c>
      <c r="CU66" t="s">
        <v>196</v>
      </c>
      <c r="CV66" t="s">
        <v>196</v>
      </c>
      <c r="CW66" t="s">
        <v>196</v>
      </c>
      <c r="CX66" t="s">
        <v>196</v>
      </c>
      <c r="CY66" t="s">
        <v>196</v>
      </c>
      <c r="CZ66" t="s">
        <v>196</v>
      </c>
      <c r="DA66" t="s">
        <v>196</v>
      </c>
      <c r="DB66" t="s">
        <v>196</v>
      </c>
      <c r="DC66" t="s">
        <v>196</v>
      </c>
      <c r="DD66" t="s">
        <v>196</v>
      </c>
      <c r="DE66" t="s">
        <v>196</v>
      </c>
      <c r="DF66" t="s">
        <v>196</v>
      </c>
      <c r="DG66" t="s">
        <v>196</v>
      </c>
      <c r="DH66" t="s">
        <v>196</v>
      </c>
      <c r="DI66" t="s">
        <v>196</v>
      </c>
      <c r="DJ66" t="s">
        <v>196</v>
      </c>
      <c r="DK66" t="s">
        <v>196</v>
      </c>
      <c r="DL66" t="s">
        <v>196</v>
      </c>
      <c r="DM66" t="s">
        <v>196</v>
      </c>
      <c r="DN66" t="s">
        <v>196</v>
      </c>
      <c r="DO66" t="s">
        <v>196</v>
      </c>
      <c r="DP66" t="s">
        <v>196</v>
      </c>
      <c r="DQ66" t="s">
        <v>196</v>
      </c>
      <c r="DR66" t="s">
        <v>196</v>
      </c>
      <c r="DS66" t="s">
        <v>196</v>
      </c>
      <c r="DT66" t="s">
        <v>196</v>
      </c>
      <c r="DU66" t="s">
        <v>196</v>
      </c>
      <c r="DV66" t="s">
        <v>196</v>
      </c>
      <c r="DW66" t="s">
        <v>196</v>
      </c>
      <c r="DX66" t="s">
        <v>196</v>
      </c>
      <c r="DY66" t="s">
        <v>196</v>
      </c>
      <c r="DZ66" t="s">
        <v>196</v>
      </c>
      <c r="EA66" t="s">
        <v>196</v>
      </c>
      <c r="EB66" t="s">
        <v>196</v>
      </c>
      <c r="EC66" t="s">
        <v>196</v>
      </c>
      <c r="ED66" t="s">
        <v>196</v>
      </c>
      <c r="EE66" t="s">
        <v>196</v>
      </c>
      <c r="EF66" t="s">
        <v>196</v>
      </c>
      <c r="EG66" t="s">
        <v>196</v>
      </c>
      <c r="EH66" t="s">
        <v>196</v>
      </c>
      <c r="EI66" t="s">
        <v>196</v>
      </c>
      <c r="EJ66" t="s">
        <v>196</v>
      </c>
      <c r="EK66" t="s">
        <v>196</v>
      </c>
      <c r="EL66" t="s">
        <v>196</v>
      </c>
      <c r="EM66" t="s">
        <v>196</v>
      </c>
      <c r="EN66" t="s">
        <v>196</v>
      </c>
      <c r="EO66" t="s">
        <v>196</v>
      </c>
      <c r="EP66" t="str">
        <f t="shared" ref="EP66:EP74" si="2">IF(A66="Ongoing", "Active", "Inactive")</f>
        <v>Active</v>
      </c>
    </row>
    <row r="67" spans="1:146">
      <c r="A67" t="s">
        <v>4</v>
      </c>
      <c r="B67" t="s">
        <v>1435</v>
      </c>
      <c r="C67" t="s">
        <v>18</v>
      </c>
      <c r="D67" t="s">
        <v>172</v>
      </c>
      <c r="E67" t="s">
        <v>7</v>
      </c>
      <c r="F67" t="s">
        <v>1436</v>
      </c>
      <c r="G67" t="s">
        <v>1437</v>
      </c>
      <c r="H67" t="s">
        <v>1438</v>
      </c>
      <c r="I67" t="s">
        <v>298</v>
      </c>
      <c r="J67" t="s">
        <v>1439</v>
      </c>
      <c r="K67" t="s">
        <v>178</v>
      </c>
      <c r="L67" t="s">
        <v>213</v>
      </c>
      <c r="M67" t="s">
        <v>1438</v>
      </c>
      <c r="N67">
        <v>310964</v>
      </c>
      <c r="O67">
        <v>731533</v>
      </c>
      <c r="P67" t="s">
        <v>1440</v>
      </c>
      <c r="Q67" t="s">
        <v>1441</v>
      </c>
      <c r="R67" t="s">
        <v>1442</v>
      </c>
      <c r="S67" t="b">
        <v>1</v>
      </c>
      <c r="T67" t="s">
        <v>1443</v>
      </c>
      <c r="U67" t="s">
        <v>196</v>
      </c>
      <c r="V67" t="s">
        <v>184</v>
      </c>
      <c r="W67">
        <v>85224</v>
      </c>
      <c r="X67" t="s">
        <v>1444</v>
      </c>
      <c r="Y67" t="s">
        <v>1445</v>
      </c>
      <c r="Z67" t="s">
        <v>16</v>
      </c>
      <c r="AA67" t="s">
        <v>1446</v>
      </c>
      <c r="AB67" t="s">
        <v>188</v>
      </c>
      <c r="AC67" t="s">
        <v>201</v>
      </c>
      <c r="AD67" t="s">
        <v>1447</v>
      </c>
      <c r="AE67" t="s">
        <v>1448</v>
      </c>
      <c r="AF67" t="s">
        <v>1449</v>
      </c>
      <c r="AG67" t="s">
        <v>1450</v>
      </c>
      <c r="AH67" t="s">
        <v>1451</v>
      </c>
      <c r="AI67">
        <v>20200316</v>
      </c>
      <c r="AJ67">
        <v>20200326</v>
      </c>
      <c r="AK67">
        <v>20211028</v>
      </c>
      <c r="AL67">
        <v>20200401</v>
      </c>
      <c r="AM67" t="s">
        <v>1452</v>
      </c>
      <c r="AN67" t="s">
        <v>196</v>
      </c>
      <c r="AO67" t="s">
        <v>1453</v>
      </c>
      <c r="AP67" t="s">
        <v>1454</v>
      </c>
      <c r="AQ67" t="s">
        <v>196</v>
      </c>
      <c r="AR67" t="s">
        <v>1455</v>
      </c>
      <c r="AS67" t="s">
        <v>1456</v>
      </c>
      <c r="AT67" t="s">
        <v>1457</v>
      </c>
      <c r="AU67" t="s">
        <v>1458</v>
      </c>
      <c r="AV67" t="s">
        <v>1459</v>
      </c>
      <c r="AW67" t="s">
        <v>1460</v>
      </c>
      <c r="AX67" t="s">
        <v>1461</v>
      </c>
      <c r="AY67" t="s">
        <v>1462</v>
      </c>
      <c r="AZ67" t="s">
        <v>1463</v>
      </c>
      <c r="BA67" t="s">
        <v>1464</v>
      </c>
      <c r="BB67" t="s">
        <v>1465</v>
      </c>
      <c r="BC67" t="s">
        <v>196</v>
      </c>
      <c r="BD67" s="1" t="s">
        <v>196</v>
      </c>
      <c r="BE67" s="1" t="s">
        <v>196</v>
      </c>
      <c r="BF67" t="s">
        <v>196</v>
      </c>
      <c r="BG67" t="s">
        <v>196</v>
      </c>
      <c r="BH67" t="s">
        <v>1466</v>
      </c>
      <c r="BI67" t="s">
        <v>1467</v>
      </c>
      <c r="BJ67" t="s">
        <v>1468</v>
      </c>
      <c r="BK67" t="s">
        <v>1469</v>
      </c>
      <c r="BL67" t="s">
        <v>1470</v>
      </c>
      <c r="BM67" t="s">
        <v>1471</v>
      </c>
      <c r="BN67" t="s">
        <v>1472</v>
      </c>
      <c r="BO67" t="s">
        <v>1473</v>
      </c>
      <c r="BP67" t="s">
        <v>196</v>
      </c>
      <c r="BQ67" t="s">
        <v>1474</v>
      </c>
      <c r="BR67" t="s">
        <v>1475</v>
      </c>
      <c r="BS67" t="s">
        <v>1476</v>
      </c>
      <c r="BT67" t="s">
        <v>1477</v>
      </c>
      <c r="BU67" t="s">
        <v>196</v>
      </c>
      <c r="BV67" t="s">
        <v>196</v>
      </c>
      <c r="BW67" t="s">
        <v>196</v>
      </c>
      <c r="BX67" t="s">
        <v>196</v>
      </c>
      <c r="BY67" t="s">
        <v>196</v>
      </c>
      <c r="BZ67" t="s">
        <v>196</v>
      </c>
      <c r="CA67" t="s">
        <v>196</v>
      </c>
      <c r="CB67" t="s">
        <v>196</v>
      </c>
      <c r="CC67" t="s">
        <v>196</v>
      </c>
      <c r="CD67" t="s">
        <v>196</v>
      </c>
      <c r="CE67" t="s">
        <v>196</v>
      </c>
      <c r="CF67" t="s">
        <v>196</v>
      </c>
      <c r="CG67" t="s">
        <v>196</v>
      </c>
      <c r="CH67" t="s">
        <v>196</v>
      </c>
      <c r="CI67" t="s">
        <v>196</v>
      </c>
      <c r="CJ67" t="s">
        <v>1478</v>
      </c>
      <c r="CK67" t="s">
        <v>1479</v>
      </c>
      <c r="CL67" t="s">
        <v>1480</v>
      </c>
      <c r="CM67" t="s">
        <v>1481</v>
      </c>
      <c r="CN67" t="s">
        <v>196</v>
      </c>
      <c r="CO67" s="1" t="s">
        <v>196</v>
      </c>
      <c r="CP67" s="1" t="s">
        <v>196</v>
      </c>
      <c r="CQ67" t="s">
        <v>196</v>
      </c>
      <c r="CR67" t="s">
        <v>196</v>
      </c>
      <c r="CS67" t="s">
        <v>196</v>
      </c>
      <c r="CT67" t="s">
        <v>196</v>
      </c>
      <c r="CU67" t="s">
        <v>196</v>
      </c>
      <c r="CV67" t="s">
        <v>196</v>
      </c>
      <c r="CW67" t="s">
        <v>196</v>
      </c>
      <c r="CX67" t="s">
        <v>196</v>
      </c>
      <c r="CY67" t="s">
        <v>1482</v>
      </c>
      <c r="CZ67" t="s">
        <v>196</v>
      </c>
      <c r="DA67" t="s">
        <v>196</v>
      </c>
      <c r="DB67" t="s">
        <v>196</v>
      </c>
      <c r="DC67" t="s">
        <v>196</v>
      </c>
      <c r="DD67" t="s">
        <v>196</v>
      </c>
      <c r="DE67" t="s">
        <v>196</v>
      </c>
      <c r="DF67" t="s">
        <v>196</v>
      </c>
      <c r="DG67" t="s">
        <v>196</v>
      </c>
      <c r="DH67" t="s">
        <v>1483</v>
      </c>
      <c r="DI67" t="s">
        <v>1484</v>
      </c>
      <c r="DJ67" t="s">
        <v>1485</v>
      </c>
      <c r="DK67" t="s">
        <v>1486</v>
      </c>
      <c r="DL67" t="s">
        <v>1487</v>
      </c>
      <c r="DM67" t="s">
        <v>1488</v>
      </c>
      <c r="DN67">
        <v>57317698</v>
      </c>
      <c r="DO67" t="s">
        <v>196</v>
      </c>
      <c r="DP67" t="s">
        <v>196</v>
      </c>
      <c r="DQ67" t="s">
        <v>196</v>
      </c>
      <c r="DR67" t="s">
        <v>196</v>
      </c>
      <c r="DS67" t="s">
        <v>196</v>
      </c>
      <c r="DT67" t="s">
        <v>196</v>
      </c>
      <c r="DU67" t="s">
        <v>196</v>
      </c>
      <c r="DV67" t="s">
        <v>196</v>
      </c>
      <c r="DW67" t="s">
        <v>196</v>
      </c>
      <c r="DX67" t="s">
        <v>196</v>
      </c>
      <c r="DY67" t="s">
        <v>196</v>
      </c>
      <c r="DZ67" t="s">
        <v>196</v>
      </c>
      <c r="EA67" t="s">
        <v>196</v>
      </c>
      <c r="EB67" t="s">
        <v>1489</v>
      </c>
      <c r="EC67" t="s">
        <v>196</v>
      </c>
      <c r="ED67" t="s">
        <v>196</v>
      </c>
      <c r="EE67" t="s">
        <v>196</v>
      </c>
      <c r="EF67" t="s">
        <v>196</v>
      </c>
      <c r="EG67" t="s">
        <v>196</v>
      </c>
      <c r="EH67" t="s">
        <v>196</v>
      </c>
      <c r="EI67" t="s">
        <v>196</v>
      </c>
      <c r="EJ67" t="s">
        <v>196</v>
      </c>
      <c r="EK67" t="s">
        <v>196</v>
      </c>
      <c r="EL67" t="s">
        <v>196</v>
      </c>
      <c r="EM67" t="s">
        <v>196</v>
      </c>
      <c r="EN67" t="s">
        <v>196</v>
      </c>
      <c r="EO67" t="s">
        <v>196</v>
      </c>
      <c r="EP67" t="str">
        <f t="shared" si="2"/>
        <v>Inactive</v>
      </c>
    </row>
    <row r="68" spans="1:146">
      <c r="A68" t="s">
        <v>4</v>
      </c>
      <c r="B68" t="s">
        <v>1239</v>
      </c>
      <c r="C68" t="s">
        <v>14</v>
      </c>
      <c r="D68" t="s">
        <v>172</v>
      </c>
      <c r="E68" t="s">
        <v>8</v>
      </c>
      <c r="F68" t="s">
        <v>1240</v>
      </c>
      <c r="G68" t="s">
        <v>1241</v>
      </c>
      <c r="H68" t="s">
        <v>1242</v>
      </c>
      <c r="I68" t="s">
        <v>1243</v>
      </c>
      <c r="J68" t="s">
        <v>1244</v>
      </c>
      <c r="K68" t="s">
        <v>212</v>
      </c>
      <c r="L68" t="s">
        <v>1245</v>
      </c>
      <c r="M68" t="s">
        <v>1246</v>
      </c>
      <c r="N68" t="s">
        <v>196</v>
      </c>
      <c r="O68" t="s">
        <v>196</v>
      </c>
      <c r="P68" t="s">
        <v>1490</v>
      </c>
      <c r="Q68" t="s">
        <v>1491</v>
      </c>
      <c r="R68" t="s">
        <v>1492</v>
      </c>
      <c r="S68" t="b">
        <v>1</v>
      </c>
      <c r="T68" t="s">
        <v>1250</v>
      </c>
      <c r="U68" t="s">
        <v>196</v>
      </c>
      <c r="V68" t="s">
        <v>184</v>
      </c>
      <c r="W68">
        <v>87907</v>
      </c>
      <c r="X68" t="s">
        <v>363</v>
      </c>
      <c r="Y68" t="s">
        <v>1251</v>
      </c>
      <c r="Z68" t="s">
        <v>16</v>
      </c>
      <c r="AA68" t="s">
        <v>1252</v>
      </c>
      <c r="AB68" t="s">
        <v>188</v>
      </c>
      <c r="AC68" t="s">
        <v>201</v>
      </c>
      <c r="AD68" t="s">
        <v>908</v>
      </c>
      <c r="AE68" t="s">
        <v>1493</v>
      </c>
      <c r="AF68" t="s">
        <v>1494</v>
      </c>
      <c r="AG68" t="s">
        <v>1495</v>
      </c>
      <c r="AH68" t="s">
        <v>1256</v>
      </c>
      <c r="AI68">
        <v>20210428</v>
      </c>
      <c r="AJ68">
        <v>20210609</v>
      </c>
      <c r="AK68">
        <v>20210917</v>
      </c>
      <c r="AL68">
        <v>20210616</v>
      </c>
      <c r="AM68" t="s">
        <v>1496</v>
      </c>
      <c r="AN68" t="s">
        <v>196</v>
      </c>
      <c r="AO68" t="s">
        <v>1258</v>
      </c>
      <c r="AP68" t="s">
        <v>1259</v>
      </c>
      <c r="AQ68" t="s">
        <v>196</v>
      </c>
      <c r="AR68" t="s">
        <v>1497</v>
      </c>
      <c r="AS68" t="s">
        <v>1498</v>
      </c>
      <c r="AT68" t="s">
        <v>1499</v>
      </c>
      <c r="AU68" t="s">
        <v>1500</v>
      </c>
      <c r="AV68" t="s">
        <v>1501</v>
      </c>
      <c r="AW68" t="s">
        <v>1502</v>
      </c>
      <c r="AX68" t="s">
        <v>1503</v>
      </c>
      <c r="AY68" t="s">
        <v>1504</v>
      </c>
      <c r="AZ68" t="s">
        <v>196</v>
      </c>
      <c r="BA68" t="s">
        <v>196</v>
      </c>
      <c r="BB68" t="s">
        <v>196</v>
      </c>
      <c r="BC68" t="s">
        <v>196</v>
      </c>
      <c r="BD68" s="1" t="s">
        <v>196</v>
      </c>
      <c r="BE68" s="1" t="s">
        <v>196</v>
      </c>
      <c r="BF68" t="s">
        <v>196</v>
      </c>
      <c r="BG68" t="s">
        <v>196</v>
      </c>
      <c r="BH68" t="s">
        <v>196</v>
      </c>
      <c r="BI68" t="s">
        <v>196</v>
      </c>
      <c r="BJ68" t="s">
        <v>196</v>
      </c>
      <c r="BK68" t="s">
        <v>196</v>
      </c>
      <c r="BL68" t="s">
        <v>196</v>
      </c>
      <c r="BM68" t="s">
        <v>196</v>
      </c>
      <c r="BN68" t="s">
        <v>196</v>
      </c>
      <c r="BO68" t="s">
        <v>196</v>
      </c>
      <c r="BP68" t="s">
        <v>196</v>
      </c>
      <c r="BQ68" t="s">
        <v>196</v>
      </c>
      <c r="BR68" t="s">
        <v>196</v>
      </c>
      <c r="BS68" t="s">
        <v>196</v>
      </c>
      <c r="BT68" t="s">
        <v>196</v>
      </c>
      <c r="BU68" t="s">
        <v>196</v>
      </c>
      <c r="BV68" t="s">
        <v>196</v>
      </c>
      <c r="BW68" t="s">
        <v>196</v>
      </c>
      <c r="BX68" t="s">
        <v>196</v>
      </c>
      <c r="BY68" t="s">
        <v>196</v>
      </c>
      <c r="BZ68" t="s">
        <v>196</v>
      </c>
      <c r="CA68" t="s">
        <v>196</v>
      </c>
      <c r="CB68" t="s">
        <v>196</v>
      </c>
      <c r="CC68" t="s">
        <v>196</v>
      </c>
      <c r="CD68" t="s">
        <v>196</v>
      </c>
      <c r="CE68" t="s">
        <v>196</v>
      </c>
      <c r="CF68" t="s">
        <v>196</v>
      </c>
      <c r="CG68" t="s">
        <v>196</v>
      </c>
      <c r="CH68" t="s">
        <v>196</v>
      </c>
      <c r="CI68" t="s">
        <v>196</v>
      </c>
      <c r="CJ68" t="s">
        <v>196</v>
      </c>
      <c r="CK68" t="s">
        <v>196</v>
      </c>
      <c r="CL68" t="s">
        <v>196</v>
      </c>
      <c r="CM68" t="s">
        <v>196</v>
      </c>
      <c r="CN68" t="s">
        <v>196</v>
      </c>
      <c r="CO68" s="1" t="s">
        <v>196</v>
      </c>
      <c r="CP68" s="1" t="s">
        <v>196</v>
      </c>
      <c r="CQ68" t="s">
        <v>196</v>
      </c>
      <c r="CR68" t="s">
        <v>196</v>
      </c>
      <c r="CS68" t="s">
        <v>196</v>
      </c>
      <c r="CT68" t="s">
        <v>196</v>
      </c>
      <c r="CU68" t="s">
        <v>196</v>
      </c>
      <c r="CV68" t="s">
        <v>196</v>
      </c>
      <c r="CW68" t="s">
        <v>1280</v>
      </c>
      <c r="CX68" t="s">
        <v>1281</v>
      </c>
      <c r="CY68" t="s">
        <v>196</v>
      </c>
      <c r="CZ68" t="s">
        <v>196</v>
      </c>
      <c r="DA68" t="s">
        <v>196</v>
      </c>
      <c r="DB68" t="s">
        <v>196</v>
      </c>
      <c r="DC68" t="s">
        <v>1282</v>
      </c>
      <c r="DD68" t="s">
        <v>1283</v>
      </c>
      <c r="DE68" t="s">
        <v>196</v>
      </c>
      <c r="DF68" t="s">
        <v>196</v>
      </c>
      <c r="DG68" t="s">
        <v>196</v>
      </c>
      <c r="DH68" t="s">
        <v>196</v>
      </c>
      <c r="DI68" t="s">
        <v>196</v>
      </c>
      <c r="DJ68" t="s">
        <v>196</v>
      </c>
      <c r="DK68" t="s">
        <v>196</v>
      </c>
      <c r="DL68" t="s">
        <v>196</v>
      </c>
      <c r="DM68" t="s">
        <v>196</v>
      </c>
      <c r="DN68" t="s">
        <v>196</v>
      </c>
      <c r="DO68" t="s">
        <v>196</v>
      </c>
      <c r="DP68" t="s">
        <v>196</v>
      </c>
      <c r="DQ68" t="s">
        <v>196</v>
      </c>
      <c r="DR68" t="s">
        <v>196</v>
      </c>
      <c r="DS68" t="s">
        <v>196</v>
      </c>
      <c r="DT68" t="s">
        <v>196</v>
      </c>
      <c r="DU68" t="s">
        <v>196</v>
      </c>
      <c r="DV68" t="s">
        <v>196</v>
      </c>
      <c r="DW68" t="s">
        <v>196</v>
      </c>
      <c r="DX68" t="s">
        <v>196</v>
      </c>
      <c r="DY68" t="s">
        <v>196</v>
      </c>
      <c r="DZ68" t="s">
        <v>196</v>
      </c>
      <c r="EA68" t="s">
        <v>196</v>
      </c>
      <c r="EB68" t="s">
        <v>196</v>
      </c>
      <c r="EC68" t="s">
        <v>196</v>
      </c>
      <c r="ED68" t="s">
        <v>196</v>
      </c>
      <c r="EE68" t="s">
        <v>196</v>
      </c>
      <c r="EF68" t="s">
        <v>196</v>
      </c>
      <c r="EG68" t="s">
        <v>196</v>
      </c>
      <c r="EH68" t="s">
        <v>196</v>
      </c>
      <c r="EI68" t="s">
        <v>1284</v>
      </c>
      <c r="EJ68" t="s">
        <v>1285</v>
      </c>
      <c r="EK68" t="s">
        <v>1286</v>
      </c>
      <c r="EL68" t="s">
        <v>1287</v>
      </c>
      <c r="EM68" t="s">
        <v>196</v>
      </c>
      <c r="EN68" t="s">
        <v>196</v>
      </c>
      <c r="EO68" t="s">
        <v>196</v>
      </c>
      <c r="EP68" t="str">
        <f t="shared" si="2"/>
        <v>Inactive</v>
      </c>
    </row>
    <row r="69" spans="1:146">
      <c r="A69" t="s">
        <v>3</v>
      </c>
      <c r="B69" t="s">
        <v>772</v>
      </c>
      <c r="C69" t="s">
        <v>18</v>
      </c>
      <c r="D69" t="s">
        <v>172</v>
      </c>
      <c r="E69" t="s">
        <v>7</v>
      </c>
      <c r="F69" t="s">
        <v>437</v>
      </c>
      <c r="G69" t="s">
        <v>438</v>
      </c>
      <c r="H69" t="s">
        <v>439</v>
      </c>
      <c r="I69" t="s">
        <v>773</v>
      </c>
      <c r="J69" t="s">
        <v>774</v>
      </c>
      <c r="K69" t="s">
        <v>212</v>
      </c>
      <c r="L69" t="s">
        <v>213</v>
      </c>
      <c r="M69" t="s">
        <v>439</v>
      </c>
      <c r="N69">
        <v>596926</v>
      </c>
      <c r="O69">
        <v>596930</v>
      </c>
      <c r="P69" t="s">
        <v>775</v>
      </c>
      <c r="Q69" t="s">
        <v>776</v>
      </c>
      <c r="R69" t="s">
        <v>777</v>
      </c>
      <c r="S69" t="b">
        <v>1</v>
      </c>
      <c r="T69" t="s">
        <v>445</v>
      </c>
      <c r="U69" s="1">
        <v>357000000000</v>
      </c>
      <c r="V69" t="s">
        <v>184</v>
      </c>
      <c r="W69">
        <v>95756</v>
      </c>
      <c r="X69" t="s">
        <v>778</v>
      </c>
      <c r="Y69" t="s">
        <v>779</v>
      </c>
      <c r="Z69" t="s">
        <v>196</v>
      </c>
      <c r="AA69" t="s">
        <v>780</v>
      </c>
      <c r="AB69" t="s">
        <v>188</v>
      </c>
      <c r="AC69" t="s">
        <v>201</v>
      </c>
      <c r="AD69" t="s">
        <v>781</v>
      </c>
      <c r="AE69" t="s">
        <v>1505</v>
      </c>
      <c r="AF69" t="s">
        <v>1506</v>
      </c>
      <c r="AG69" t="s">
        <v>1507</v>
      </c>
      <c r="AH69" t="s">
        <v>785</v>
      </c>
      <c r="AI69">
        <v>20241119</v>
      </c>
      <c r="AJ69">
        <v>20241205</v>
      </c>
      <c r="AK69" t="s">
        <v>196</v>
      </c>
      <c r="AL69">
        <v>20241211</v>
      </c>
      <c r="AM69" t="s">
        <v>1508</v>
      </c>
      <c r="AN69" t="s">
        <v>196</v>
      </c>
      <c r="AO69" t="s">
        <v>787</v>
      </c>
      <c r="AP69" t="s">
        <v>788</v>
      </c>
      <c r="AQ69">
        <v>596934</v>
      </c>
      <c r="AR69" t="s">
        <v>789</v>
      </c>
      <c r="AS69" t="s">
        <v>790</v>
      </c>
      <c r="AT69" t="s">
        <v>791</v>
      </c>
      <c r="AU69" t="s">
        <v>792</v>
      </c>
      <c r="AV69" t="s">
        <v>793</v>
      </c>
      <c r="AW69" t="s">
        <v>794</v>
      </c>
      <c r="AX69" t="s">
        <v>795</v>
      </c>
      <c r="AY69" t="s">
        <v>196</v>
      </c>
      <c r="AZ69" t="s">
        <v>196</v>
      </c>
      <c r="BA69" t="s">
        <v>196</v>
      </c>
      <c r="BB69" t="s">
        <v>196</v>
      </c>
      <c r="BC69" t="s">
        <v>196</v>
      </c>
      <c r="BD69" s="1">
        <v>357000000000</v>
      </c>
      <c r="BE69" s="1">
        <v>357000000000</v>
      </c>
      <c r="BF69" t="s">
        <v>196</v>
      </c>
      <c r="BG69" t="s">
        <v>196</v>
      </c>
      <c r="BH69" t="s">
        <v>196</v>
      </c>
      <c r="BI69" t="s">
        <v>196</v>
      </c>
      <c r="BJ69" t="s">
        <v>196</v>
      </c>
      <c r="BK69" t="s">
        <v>196</v>
      </c>
      <c r="BL69" t="s">
        <v>196</v>
      </c>
      <c r="BM69" t="s">
        <v>196</v>
      </c>
      <c r="BN69" t="s">
        <v>196</v>
      </c>
      <c r="BO69" t="s">
        <v>196</v>
      </c>
      <c r="BP69" t="s">
        <v>196</v>
      </c>
      <c r="BQ69" t="s">
        <v>196</v>
      </c>
      <c r="BR69" t="s">
        <v>196</v>
      </c>
      <c r="BS69" t="s">
        <v>196</v>
      </c>
      <c r="BT69" t="s">
        <v>196</v>
      </c>
      <c r="BU69" t="s">
        <v>196</v>
      </c>
      <c r="BV69" t="s">
        <v>196</v>
      </c>
      <c r="BW69" t="s">
        <v>196</v>
      </c>
      <c r="BX69" t="s">
        <v>196</v>
      </c>
      <c r="BY69" t="s">
        <v>196</v>
      </c>
      <c r="BZ69" t="s">
        <v>196</v>
      </c>
      <c r="CA69" t="s">
        <v>196</v>
      </c>
      <c r="CB69" t="s">
        <v>196</v>
      </c>
      <c r="CC69" t="s">
        <v>196</v>
      </c>
      <c r="CD69" t="s">
        <v>196</v>
      </c>
      <c r="CE69" t="s">
        <v>196</v>
      </c>
      <c r="CF69" t="s">
        <v>196</v>
      </c>
      <c r="CG69" t="s">
        <v>196</v>
      </c>
      <c r="CH69" t="s">
        <v>196</v>
      </c>
      <c r="CI69" t="s">
        <v>196</v>
      </c>
      <c r="CJ69" t="s">
        <v>196</v>
      </c>
      <c r="CK69" t="s">
        <v>196</v>
      </c>
      <c r="CL69" t="s">
        <v>196</v>
      </c>
      <c r="CM69" t="s">
        <v>196</v>
      </c>
      <c r="CN69" t="s">
        <v>196</v>
      </c>
      <c r="CO69" s="1" t="s">
        <v>196</v>
      </c>
      <c r="CP69" s="1" t="s">
        <v>196</v>
      </c>
      <c r="CQ69" t="s">
        <v>196</v>
      </c>
      <c r="CR69" t="s">
        <v>196</v>
      </c>
      <c r="CS69" t="s">
        <v>196</v>
      </c>
      <c r="CT69" t="s">
        <v>196</v>
      </c>
      <c r="CU69" t="s">
        <v>196</v>
      </c>
      <c r="CV69" t="s">
        <v>196</v>
      </c>
      <c r="CW69" t="s">
        <v>196</v>
      </c>
      <c r="CX69" t="s">
        <v>196</v>
      </c>
      <c r="CY69" t="s">
        <v>196</v>
      </c>
      <c r="CZ69" t="s">
        <v>196</v>
      </c>
      <c r="DA69" t="s">
        <v>196</v>
      </c>
      <c r="DB69" t="s">
        <v>196</v>
      </c>
      <c r="DC69" t="s">
        <v>196</v>
      </c>
      <c r="DD69" t="s">
        <v>196</v>
      </c>
      <c r="DE69" t="s">
        <v>196</v>
      </c>
      <c r="DF69" t="s">
        <v>196</v>
      </c>
      <c r="DG69" t="s">
        <v>196</v>
      </c>
      <c r="DH69" t="s">
        <v>196</v>
      </c>
      <c r="DI69" t="s">
        <v>196</v>
      </c>
      <c r="DJ69" t="s">
        <v>196</v>
      </c>
      <c r="DK69" t="s">
        <v>196</v>
      </c>
      <c r="DL69" t="s">
        <v>196</v>
      </c>
      <c r="DM69" t="s">
        <v>196</v>
      </c>
      <c r="DN69" t="s">
        <v>196</v>
      </c>
      <c r="DO69" t="s">
        <v>196</v>
      </c>
      <c r="DP69" t="s">
        <v>196</v>
      </c>
      <c r="DQ69" t="s">
        <v>196</v>
      </c>
      <c r="DR69" t="s">
        <v>196</v>
      </c>
      <c r="DS69" t="s">
        <v>196</v>
      </c>
      <c r="DT69" t="s">
        <v>196</v>
      </c>
      <c r="DU69" t="s">
        <v>196</v>
      </c>
      <c r="DV69" t="s">
        <v>196</v>
      </c>
      <c r="DW69" t="s">
        <v>196</v>
      </c>
      <c r="DX69" t="s">
        <v>196</v>
      </c>
      <c r="DY69" t="s">
        <v>196</v>
      </c>
      <c r="DZ69" t="s">
        <v>196</v>
      </c>
      <c r="EA69" t="s">
        <v>196</v>
      </c>
      <c r="EB69" t="s">
        <v>196</v>
      </c>
      <c r="EC69" t="s">
        <v>196</v>
      </c>
      <c r="ED69" t="s">
        <v>196</v>
      </c>
      <c r="EE69" t="s">
        <v>196</v>
      </c>
      <c r="EF69" t="s">
        <v>196</v>
      </c>
      <c r="EG69" t="s">
        <v>196</v>
      </c>
      <c r="EH69" t="s">
        <v>196</v>
      </c>
      <c r="EI69" t="s">
        <v>196</v>
      </c>
      <c r="EJ69" t="s">
        <v>196</v>
      </c>
      <c r="EK69" t="s">
        <v>196</v>
      </c>
      <c r="EL69" t="s">
        <v>196</v>
      </c>
      <c r="EM69" t="s">
        <v>196</v>
      </c>
      <c r="EN69" t="s">
        <v>196</v>
      </c>
      <c r="EO69" t="s">
        <v>196</v>
      </c>
      <c r="EP69" t="str">
        <f t="shared" si="2"/>
        <v>Active</v>
      </c>
    </row>
    <row r="70" spans="1:146">
      <c r="A70" t="s">
        <v>3</v>
      </c>
      <c r="B70" t="s">
        <v>207</v>
      </c>
      <c r="C70" t="s">
        <v>18</v>
      </c>
      <c r="D70" t="s">
        <v>172</v>
      </c>
      <c r="E70" t="s">
        <v>7</v>
      </c>
      <c r="F70" t="s">
        <v>1509</v>
      </c>
      <c r="G70" t="s">
        <v>640</v>
      </c>
      <c r="H70" t="s">
        <v>640</v>
      </c>
      <c r="I70" t="s">
        <v>210</v>
      </c>
      <c r="J70" t="s">
        <v>1510</v>
      </c>
      <c r="K70" t="s">
        <v>212</v>
      </c>
      <c r="L70" t="s">
        <v>213</v>
      </c>
      <c r="M70" t="s">
        <v>571</v>
      </c>
      <c r="N70">
        <v>722126</v>
      </c>
      <c r="O70">
        <v>722131</v>
      </c>
      <c r="P70" t="s">
        <v>1511</v>
      </c>
      <c r="Q70" t="s">
        <v>1512</v>
      </c>
      <c r="R70" t="s">
        <v>1513</v>
      </c>
      <c r="S70" t="b">
        <v>1</v>
      </c>
      <c r="T70" t="s">
        <v>646</v>
      </c>
      <c r="U70" s="1">
        <v>366000000000</v>
      </c>
      <c r="V70" t="s">
        <v>184</v>
      </c>
      <c r="W70">
        <v>81887</v>
      </c>
      <c r="X70" t="s">
        <v>1514</v>
      </c>
      <c r="Y70" t="s">
        <v>220</v>
      </c>
      <c r="Z70" t="s">
        <v>196</v>
      </c>
      <c r="AA70" t="s">
        <v>221</v>
      </c>
      <c r="AB70" t="s">
        <v>188</v>
      </c>
      <c r="AC70" t="s">
        <v>189</v>
      </c>
      <c r="AD70" t="s">
        <v>1515</v>
      </c>
      <c r="AE70" t="s">
        <v>1516</v>
      </c>
      <c r="AF70" t="s">
        <v>1517</v>
      </c>
      <c r="AG70" t="s">
        <v>1518</v>
      </c>
      <c r="AH70" t="s">
        <v>1519</v>
      </c>
      <c r="AI70">
        <v>20181231</v>
      </c>
      <c r="AJ70">
        <v>20190114</v>
      </c>
      <c r="AK70" t="s">
        <v>196</v>
      </c>
      <c r="AL70">
        <v>20190123</v>
      </c>
      <c r="AM70" t="s">
        <v>1520</v>
      </c>
      <c r="AN70" t="s">
        <v>196</v>
      </c>
      <c r="AO70" t="s">
        <v>1521</v>
      </c>
      <c r="AP70" t="s">
        <v>1522</v>
      </c>
      <c r="AQ70">
        <v>722134</v>
      </c>
      <c r="AR70" t="s">
        <v>1523</v>
      </c>
      <c r="AS70" t="s">
        <v>1524</v>
      </c>
      <c r="AT70" t="s">
        <v>1525</v>
      </c>
      <c r="AU70" t="s">
        <v>1526</v>
      </c>
      <c r="AV70" t="s">
        <v>1527</v>
      </c>
      <c r="AW70" t="s">
        <v>1528</v>
      </c>
      <c r="AX70" t="s">
        <v>1529</v>
      </c>
      <c r="AY70" t="s">
        <v>1530</v>
      </c>
      <c r="AZ70" t="s">
        <v>1531</v>
      </c>
      <c r="BA70" t="s">
        <v>1532</v>
      </c>
      <c r="BB70" t="s">
        <v>1533</v>
      </c>
      <c r="BC70" t="s">
        <v>196</v>
      </c>
      <c r="BD70" s="1">
        <v>366000000000</v>
      </c>
      <c r="BE70" s="1" t="s">
        <v>196</v>
      </c>
      <c r="BF70" t="s">
        <v>1534</v>
      </c>
      <c r="BG70" t="s">
        <v>196</v>
      </c>
      <c r="BH70" t="s">
        <v>1535</v>
      </c>
      <c r="BI70" t="s">
        <v>1536</v>
      </c>
      <c r="BJ70" t="s">
        <v>1537</v>
      </c>
      <c r="BK70" t="s">
        <v>1538</v>
      </c>
      <c r="BL70" t="s">
        <v>196</v>
      </c>
      <c r="BM70" t="s">
        <v>196</v>
      </c>
      <c r="BN70" t="s">
        <v>196</v>
      </c>
      <c r="BO70" t="s">
        <v>196</v>
      </c>
      <c r="BP70">
        <v>722137</v>
      </c>
      <c r="BQ70" t="s">
        <v>661</v>
      </c>
      <c r="BR70" t="s">
        <v>662</v>
      </c>
      <c r="BS70" t="s">
        <v>196</v>
      </c>
      <c r="BT70" t="s">
        <v>663</v>
      </c>
      <c r="BU70" t="s">
        <v>196</v>
      </c>
      <c r="BV70" t="s">
        <v>196</v>
      </c>
      <c r="BW70" t="s">
        <v>196</v>
      </c>
      <c r="BX70" t="s">
        <v>196</v>
      </c>
      <c r="BY70" t="s">
        <v>196</v>
      </c>
      <c r="BZ70" t="s">
        <v>196</v>
      </c>
      <c r="CA70" t="s">
        <v>196</v>
      </c>
      <c r="CB70" t="s">
        <v>196</v>
      </c>
      <c r="CC70" t="s">
        <v>196</v>
      </c>
      <c r="CD70" t="s">
        <v>196</v>
      </c>
      <c r="CE70" t="s">
        <v>196</v>
      </c>
      <c r="CF70" t="s">
        <v>196</v>
      </c>
      <c r="CG70" t="s">
        <v>196</v>
      </c>
      <c r="CH70" t="s">
        <v>196</v>
      </c>
      <c r="CI70" t="s">
        <v>196</v>
      </c>
      <c r="CJ70" t="s">
        <v>196</v>
      </c>
      <c r="CK70" t="s">
        <v>196</v>
      </c>
      <c r="CL70" t="s">
        <v>196</v>
      </c>
      <c r="CM70" t="s">
        <v>196</v>
      </c>
      <c r="CN70" t="s">
        <v>196</v>
      </c>
      <c r="CO70" s="1" t="s">
        <v>196</v>
      </c>
      <c r="CP70" s="1" t="s">
        <v>196</v>
      </c>
      <c r="CQ70" t="s">
        <v>196</v>
      </c>
      <c r="CR70" t="s">
        <v>196</v>
      </c>
      <c r="CS70" t="s">
        <v>196</v>
      </c>
      <c r="CT70" t="s">
        <v>196</v>
      </c>
      <c r="CU70" t="s">
        <v>196</v>
      </c>
      <c r="CV70" t="s">
        <v>196</v>
      </c>
      <c r="CW70" t="s">
        <v>664</v>
      </c>
      <c r="CX70" t="s">
        <v>196</v>
      </c>
      <c r="CY70" t="s">
        <v>196</v>
      </c>
      <c r="CZ70" t="s">
        <v>196</v>
      </c>
      <c r="DA70" t="s">
        <v>196</v>
      </c>
      <c r="DB70" t="s">
        <v>196</v>
      </c>
      <c r="DC70" t="s">
        <v>616</v>
      </c>
      <c r="DD70" t="s">
        <v>196</v>
      </c>
      <c r="DE70" t="s">
        <v>196</v>
      </c>
      <c r="DF70" t="s">
        <v>196</v>
      </c>
      <c r="DG70" t="s">
        <v>196</v>
      </c>
      <c r="DH70" t="s">
        <v>196</v>
      </c>
      <c r="DI70" t="s">
        <v>196</v>
      </c>
      <c r="DJ70" t="s">
        <v>196</v>
      </c>
      <c r="DK70" t="s">
        <v>196</v>
      </c>
      <c r="DL70" t="s">
        <v>196</v>
      </c>
      <c r="DM70" t="s">
        <v>196</v>
      </c>
      <c r="DN70" t="s">
        <v>196</v>
      </c>
      <c r="DO70" t="s">
        <v>196</v>
      </c>
      <c r="DP70" t="s">
        <v>196</v>
      </c>
      <c r="DQ70" t="s">
        <v>196</v>
      </c>
      <c r="DR70" t="s">
        <v>196</v>
      </c>
      <c r="DS70" t="s">
        <v>196</v>
      </c>
      <c r="DT70" t="s">
        <v>196</v>
      </c>
      <c r="DU70" t="s">
        <v>196</v>
      </c>
      <c r="DV70" t="s">
        <v>196</v>
      </c>
      <c r="DW70" t="s">
        <v>196</v>
      </c>
      <c r="DX70" t="s">
        <v>196</v>
      </c>
      <c r="DY70" t="s">
        <v>196</v>
      </c>
      <c r="DZ70" t="s">
        <v>196</v>
      </c>
      <c r="EA70" t="s">
        <v>196</v>
      </c>
      <c r="EB70" t="s">
        <v>665</v>
      </c>
      <c r="EC70" t="s">
        <v>196</v>
      </c>
      <c r="ED70" t="s">
        <v>196</v>
      </c>
      <c r="EE70" t="s">
        <v>196</v>
      </c>
      <c r="EF70" t="s">
        <v>196</v>
      </c>
      <c r="EG70" t="s">
        <v>196</v>
      </c>
      <c r="EH70" t="s">
        <v>196</v>
      </c>
      <c r="EI70" t="s">
        <v>196</v>
      </c>
      <c r="EJ70" t="s">
        <v>196</v>
      </c>
      <c r="EK70" t="s">
        <v>196</v>
      </c>
      <c r="EL70" t="s">
        <v>196</v>
      </c>
      <c r="EM70" t="s">
        <v>196</v>
      </c>
      <c r="EN70" t="s">
        <v>196</v>
      </c>
      <c r="EO70" t="s">
        <v>196</v>
      </c>
      <c r="EP70" t="str">
        <f t="shared" si="2"/>
        <v>Active</v>
      </c>
    </row>
    <row r="71" spans="1:146">
      <c r="A71" t="s">
        <v>4</v>
      </c>
      <c r="B71" t="s">
        <v>1290</v>
      </c>
      <c r="C71" t="s">
        <v>22</v>
      </c>
      <c r="D71" t="s">
        <v>172</v>
      </c>
      <c r="E71" t="s">
        <v>7</v>
      </c>
      <c r="F71" t="s">
        <v>1539</v>
      </c>
      <c r="G71" t="s">
        <v>1540</v>
      </c>
      <c r="H71" t="s">
        <v>1541</v>
      </c>
      <c r="I71" t="s">
        <v>1542</v>
      </c>
      <c r="J71" t="s">
        <v>1543</v>
      </c>
      <c r="K71" t="s">
        <v>178</v>
      </c>
      <c r="L71" t="s">
        <v>1544</v>
      </c>
      <c r="M71" t="s">
        <v>1545</v>
      </c>
      <c r="N71">
        <v>706820</v>
      </c>
      <c r="O71" t="s">
        <v>196</v>
      </c>
      <c r="P71" t="s">
        <v>1546</v>
      </c>
      <c r="Q71" t="s">
        <v>1547</v>
      </c>
      <c r="R71" t="s">
        <v>1548</v>
      </c>
      <c r="S71" t="b">
        <v>1</v>
      </c>
      <c r="T71" t="s">
        <v>1549</v>
      </c>
      <c r="U71" s="1">
        <v>301000000000</v>
      </c>
      <c r="V71" t="s">
        <v>184</v>
      </c>
      <c r="W71">
        <v>90553</v>
      </c>
      <c r="X71" t="s">
        <v>1300</v>
      </c>
      <c r="Y71" t="s">
        <v>1301</v>
      </c>
      <c r="Z71" t="s">
        <v>1302</v>
      </c>
      <c r="AA71">
        <v>23233</v>
      </c>
      <c r="AB71" t="s">
        <v>188</v>
      </c>
      <c r="AC71" t="s">
        <v>201</v>
      </c>
      <c r="AD71" t="s">
        <v>1550</v>
      </c>
      <c r="AE71" t="s">
        <v>1551</v>
      </c>
      <c r="AF71" t="s">
        <v>1552</v>
      </c>
      <c r="AG71" t="s">
        <v>1553</v>
      </c>
      <c r="AH71" t="s">
        <v>1554</v>
      </c>
      <c r="AI71">
        <v>20220629</v>
      </c>
      <c r="AJ71">
        <v>20220805</v>
      </c>
      <c r="AK71">
        <v>20240213</v>
      </c>
      <c r="AL71">
        <v>20220817</v>
      </c>
      <c r="AM71" t="s">
        <v>1555</v>
      </c>
      <c r="AN71" t="s">
        <v>196</v>
      </c>
      <c r="AO71" t="s">
        <v>196</v>
      </c>
      <c r="AP71" t="s">
        <v>196</v>
      </c>
      <c r="AQ71" t="s">
        <v>196</v>
      </c>
      <c r="AR71">
        <v>3006505180</v>
      </c>
      <c r="AS71" t="s">
        <v>196</v>
      </c>
      <c r="AT71" t="s">
        <v>196</v>
      </c>
      <c r="AU71" t="s">
        <v>196</v>
      </c>
      <c r="AV71" t="s">
        <v>196</v>
      </c>
      <c r="AW71" t="s">
        <v>196</v>
      </c>
      <c r="AX71" t="s">
        <v>196</v>
      </c>
      <c r="AY71" t="s">
        <v>196</v>
      </c>
      <c r="AZ71" t="s">
        <v>196</v>
      </c>
      <c r="BA71" t="s">
        <v>196</v>
      </c>
      <c r="BB71" t="s">
        <v>196</v>
      </c>
      <c r="BC71" t="s">
        <v>196</v>
      </c>
      <c r="BD71" s="1" t="s">
        <v>196</v>
      </c>
      <c r="BE71" s="1" t="s">
        <v>196</v>
      </c>
      <c r="BF71" t="s">
        <v>196</v>
      </c>
      <c r="BG71" t="s">
        <v>196</v>
      </c>
      <c r="BH71" t="s">
        <v>196</v>
      </c>
      <c r="BI71" t="s">
        <v>196</v>
      </c>
      <c r="BJ71" t="s">
        <v>196</v>
      </c>
      <c r="BK71" t="s">
        <v>196</v>
      </c>
      <c r="BL71" t="s">
        <v>196</v>
      </c>
      <c r="BM71" t="s">
        <v>196</v>
      </c>
      <c r="BN71" t="s">
        <v>196</v>
      </c>
      <c r="BO71" t="s">
        <v>196</v>
      </c>
      <c r="BP71" t="s">
        <v>196</v>
      </c>
      <c r="BQ71" t="s">
        <v>196</v>
      </c>
      <c r="BR71" t="s">
        <v>196</v>
      </c>
      <c r="BS71" t="s">
        <v>196</v>
      </c>
      <c r="BT71" t="s">
        <v>196</v>
      </c>
      <c r="BU71" t="s">
        <v>196</v>
      </c>
      <c r="BV71" t="s">
        <v>196</v>
      </c>
      <c r="BW71" t="s">
        <v>196</v>
      </c>
      <c r="BX71" t="s">
        <v>196</v>
      </c>
      <c r="BY71" t="s">
        <v>196</v>
      </c>
      <c r="BZ71" t="s">
        <v>196</v>
      </c>
      <c r="CA71" t="s">
        <v>196</v>
      </c>
      <c r="CB71" t="s">
        <v>196</v>
      </c>
      <c r="CC71" t="s">
        <v>196</v>
      </c>
      <c r="CD71" t="s">
        <v>196</v>
      </c>
      <c r="CE71" t="s">
        <v>196</v>
      </c>
      <c r="CF71" t="s">
        <v>196</v>
      </c>
      <c r="CG71" t="s">
        <v>196</v>
      </c>
      <c r="CH71" t="s">
        <v>196</v>
      </c>
      <c r="CI71" t="s">
        <v>196</v>
      </c>
      <c r="CJ71" t="s">
        <v>196</v>
      </c>
      <c r="CK71" t="s">
        <v>196</v>
      </c>
      <c r="CL71" t="s">
        <v>196</v>
      </c>
      <c r="CM71" t="s">
        <v>196</v>
      </c>
      <c r="CN71" t="s">
        <v>196</v>
      </c>
      <c r="CO71" s="1" t="s">
        <v>196</v>
      </c>
      <c r="CP71" s="1" t="s">
        <v>196</v>
      </c>
      <c r="CQ71" t="s">
        <v>196</v>
      </c>
      <c r="CR71" t="s">
        <v>196</v>
      </c>
      <c r="CS71" t="s">
        <v>196</v>
      </c>
      <c r="CT71" t="s">
        <v>196</v>
      </c>
      <c r="CU71" t="s">
        <v>196</v>
      </c>
      <c r="CV71" t="s">
        <v>196</v>
      </c>
      <c r="CW71" t="s">
        <v>1556</v>
      </c>
      <c r="CX71" t="s">
        <v>196</v>
      </c>
      <c r="CY71" t="s">
        <v>196</v>
      </c>
      <c r="CZ71" t="s">
        <v>196</v>
      </c>
      <c r="DA71" t="s">
        <v>196</v>
      </c>
      <c r="DB71" t="s">
        <v>196</v>
      </c>
      <c r="DC71" t="s">
        <v>1557</v>
      </c>
      <c r="DD71" t="s">
        <v>196</v>
      </c>
      <c r="DE71" t="s">
        <v>196</v>
      </c>
      <c r="DF71" t="s">
        <v>196</v>
      </c>
      <c r="DG71" t="s">
        <v>196</v>
      </c>
      <c r="DH71" t="s">
        <v>196</v>
      </c>
      <c r="DI71" t="s">
        <v>196</v>
      </c>
      <c r="DJ71" t="s">
        <v>196</v>
      </c>
      <c r="DK71" t="s">
        <v>196</v>
      </c>
      <c r="DL71" t="s">
        <v>196</v>
      </c>
      <c r="DM71" t="s">
        <v>196</v>
      </c>
      <c r="DN71" t="s">
        <v>196</v>
      </c>
      <c r="DO71" t="s">
        <v>196</v>
      </c>
      <c r="DP71" t="s">
        <v>196</v>
      </c>
      <c r="DQ71" t="s">
        <v>196</v>
      </c>
      <c r="DR71" t="s">
        <v>196</v>
      </c>
      <c r="DS71" t="s">
        <v>196</v>
      </c>
      <c r="DT71" t="s">
        <v>196</v>
      </c>
      <c r="DU71" t="s">
        <v>196</v>
      </c>
      <c r="DV71" t="s">
        <v>196</v>
      </c>
      <c r="DW71" t="s">
        <v>196</v>
      </c>
      <c r="DX71" t="s">
        <v>196</v>
      </c>
      <c r="DY71" t="s">
        <v>196</v>
      </c>
      <c r="DZ71" t="s">
        <v>196</v>
      </c>
      <c r="EA71" t="s">
        <v>196</v>
      </c>
      <c r="EB71" t="s">
        <v>196</v>
      </c>
      <c r="EC71" t="s">
        <v>196</v>
      </c>
      <c r="ED71" t="s">
        <v>196</v>
      </c>
      <c r="EE71" t="s">
        <v>196</v>
      </c>
      <c r="EF71" t="s">
        <v>196</v>
      </c>
      <c r="EG71" t="s">
        <v>196</v>
      </c>
      <c r="EH71" t="s">
        <v>196</v>
      </c>
      <c r="EI71" t="s">
        <v>196</v>
      </c>
      <c r="EJ71" t="s">
        <v>196</v>
      </c>
      <c r="EK71" t="s">
        <v>196</v>
      </c>
      <c r="EL71" t="s">
        <v>196</v>
      </c>
      <c r="EM71" t="s">
        <v>196</v>
      </c>
      <c r="EN71" t="s">
        <v>196</v>
      </c>
      <c r="EO71" t="s">
        <v>196</v>
      </c>
      <c r="EP71" t="str">
        <f t="shared" si="2"/>
        <v>Inactive</v>
      </c>
    </row>
    <row r="72" spans="1:146">
      <c r="A72" t="s">
        <v>4</v>
      </c>
      <c r="B72" t="s">
        <v>566</v>
      </c>
      <c r="C72" t="s">
        <v>18</v>
      </c>
      <c r="D72" t="s">
        <v>172</v>
      </c>
      <c r="E72" t="s">
        <v>7</v>
      </c>
      <c r="F72" t="s">
        <v>1558</v>
      </c>
      <c r="G72" t="s">
        <v>1559</v>
      </c>
      <c r="H72" t="s">
        <v>1559</v>
      </c>
      <c r="I72" t="s">
        <v>1560</v>
      </c>
      <c r="J72" t="s">
        <v>1561</v>
      </c>
      <c r="K72" t="s">
        <v>212</v>
      </c>
      <c r="L72" t="s">
        <v>213</v>
      </c>
      <c r="M72" t="s">
        <v>1562</v>
      </c>
      <c r="N72">
        <v>647237</v>
      </c>
      <c r="O72">
        <v>647239</v>
      </c>
      <c r="P72" t="s">
        <v>1563</v>
      </c>
      <c r="Q72" t="s">
        <v>1564</v>
      </c>
      <c r="R72" t="s">
        <v>1565</v>
      </c>
      <c r="S72" t="b">
        <v>1</v>
      </c>
      <c r="T72" t="s">
        <v>1566</v>
      </c>
      <c r="U72" s="1">
        <v>308000000000</v>
      </c>
      <c r="V72" t="s">
        <v>184</v>
      </c>
      <c r="W72">
        <v>76515</v>
      </c>
      <c r="X72" t="s">
        <v>1560</v>
      </c>
      <c r="Y72" t="s">
        <v>1567</v>
      </c>
      <c r="Z72" t="s">
        <v>16</v>
      </c>
      <c r="AA72" t="s">
        <v>1568</v>
      </c>
      <c r="AB72" t="s">
        <v>188</v>
      </c>
      <c r="AC72" t="s">
        <v>201</v>
      </c>
      <c r="AD72" t="s">
        <v>253</v>
      </c>
      <c r="AE72" t="s">
        <v>1569</v>
      </c>
      <c r="AF72" t="s">
        <v>1570</v>
      </c>
      <c r="AG72" t="s">
        <v>16</v>
      </c>
      <c r="AH72" t="s">
        <v>1571</v>
      </c>
      <c r="AI72">
        <v>20170210</v>
      </c>
      <c r="AJ72">
        <v>20170309</v>
      </c>
      <c r="AK72">
        <v>20171024</v>
      </c>
      <c r="AL72">
        <v>20170315</v>
      </c>
      <c r="AM72" t="s">
        <v>1572</v>
      </c>
      <c r="AN72" t="s">
        <v>196</v>
      </c>
      <c r="AO72" t="s">
        <v>1573</v>
      </c>
      <c r="AP72" t="s">
        <v>196</v>
      </c>
      <c r="AQ72" t="s">
        <v>196</v>
      </c>
      <c r="AR72" t="s">
        <v>1574</v>
      </c>
      <c r="AS72" t="s">
        <v>1575</v>
      </c>
      <c r="AT72" t="s">
        <v>1576</v>
      </c>
      <c r="AU72" t="s">
        <v>196</v>
      </c>
      <c r="AV72" t="s">
        <v>196</v>
      </c>
      <c r="AW72" t="s">
        <v>196</v>
      </c>
      <c r="AX72" t="s">
        <v>196</v>
      </c>
      <c r="AY72" t="s">
        <v>196</v>
      </c>
      <c r="AZ72" t="s">
        <v>196</v>
      </c>
      <c r="BA72" t="s">
        <v>196</v>
      </c>
      <c r="BB72" t="s">
        <v>196</v>
      </c>
      <c r="BC72" t="s">
        <v>196</v>
      </c>
      <c r="BD72" s="1">
        <v>308000000000</v>
      </c>
      <c r="BE72" s="1" t="s">
        <v>196</v>
      </c>
      <c r="BF72" t="s">
        <v>196</v>
      </c>
      <c r="BG72" t="s">
        <v>196</v>
      </c>
      <c r="BH72" t="s">
        <v>196</v>
      </c>
      <c r="BI72" t="s">
        <v>196</v>
      </c>
      <c r="BJ72" t="s">
        <v>196</v>
      </c>
      <c r="BK72" t="s">
        <v>196</v>
      </c>
      <c r="BL72" t="s">
        <v>196</v>
      </c>
      <c r="BM72" t="s">
        <v>196</v>
      </c>
      <c r="BN72" t="s">
        <v>196</v>
      </c>
      <c r="BO72" t="s">
        <v>196</v>
      </c>
      <c r="BP72" t="s">
        <v>196</v>
      </c>
      <c r="BQ72" t="s">
        <v>1577</v>
      </c>
      <c r="BR72" t="s">
        <v>1578</v>
      </c>
      <c r="BS72" t="s">
        <v>1579</v>
      </c>
      <c r="BT72" t="s">
        <v>1580</v>
      </c>
      <c r="BU72" t="s">
        <v>196</v>
      </c>
      <c r="BV72" t="s">
        <v>196</v>
      </c>
      <c r="BW72" t="s">
        <v>196</v>
      </c>
      <c r="BX72" t="s">
        <v>196</v>
      </c>
      <c r="BY72" t="s">
        <v>196</v>
      </c>
      <c r="BZ72" t="s">
        <v>196</v>
      </c>
      <c r="CA72" t="s">
        <v>196</v>
      </c>
      <c r="CB72" t="s">
        <v>196</v>
      </c>
      <c r="CC72" t="s">
        <v>196</v>
      </c>
      <c r="CD72" t="s">
        <v>196</v>
      </c>
      <c r="CE72" t="s">
        <v>196</v>
      </c>
      <c r="CF72" t="s">
        <v>196</v>
      </c>
      <c r="CG72" t="s">
        <v>196</v>
      </c>
      <c r="CH72" t="s">
        <v>196</v>
      </c>
      <c r="CI72" t="s">
        <v>196</v>
      </c>
      <c r="CJ72" t="s">
        <v>196</v>
      </c>
      <c r="CK72" t="s">
        <v>196</v>
      </c>
      <c r="CL72" t="s">
        <v>196</v>
      </c>
      <c r="CM72" t="s">
        <v>196</v>
      </c>
      <c r="CN72" t="s">
        <v>196</v>
      </c>
      <c r="CO72" s="1" t="s">
        <v>196</v>
      </c>
      <c r="CP72" s="1" t="s">
        <v>196</v>
      </c>
      <c r="CQ72" t="s">
        <v>196</v>
      </c>
      <c r="CR72" t="s">
        <v>196</v>
      </c>
      <c r="CS72" t="s">
        <v>196</v>
      </c>
      <c r="CT72" t="s">
        <v>196</v>
      </c>
      <c r="CU72" t="s">
        <v>196</v>
      </c>
      <c r="CV72" t="s">
        <v>196</v>
      </c>
      <c r="CW72" t="s">
        <v>1581</v>
      </c>
      <c r="CX72" t="s">
        <v>196</v>
      </c>
      <c r="CY72" t="s">
        <v>196</v>
      </c>
      <c r="CZ72" t="s">
        <v>196</v>
      </c>
      <c r="DA72" t="s">
        <v>196</v>
      </c>
      <c r="DB72" t="s">
        <v>196</v>
      </c>
      <c r="DC72" t="s">
        <v>1582</v>
      </c>
      <c r="DD72" t="s">
        <v>196</v>
      </c>
      <c r="DE72" t="s">
        <v>196</v>
      </c>
      <c r="DF72" t="s">
        <v>196</v>
      </c>
      <c r="DG72" t="s">
        <v>196</v>
      </c>
      <c r="DH72" t="s">
        <v>196</v>
      </c>
      <c r="DI72" t="s">
        <v>196</v>
      </c>
      <c r="DJ72" t="s">
        <v>196</v>
      </c>
      <c r="DK72" t="s">
        <v>196</v>
      </c>
      <c r="DL72" t="s">
        <v>196</v>
      </c>
      <c r="DM72" t="s">
        <v>196</v>
      </c>
      <c r="DN72" t="s">
        <v>196</v>
      </c>
      <c r="DO72" t="s">
        <v>196</v>
      </c>
      <c r="DP72" t="s">
        <v>196</v>
      </c>
      <c r="DQ72" t="s">
        <v>196</v>
      </c>
      <c r="DR72" t="s">
        <v>196</v>
      </c>
      <c r="DS72" t="s">
        <v>196</v>
      </c>
      <c r="DT72" t="s">
        <v>196</v>
      </c>
      <c r="DU72" t="s">
        <v>196</v>
      </c>
      <c r="DV72" t="s">
        <v>196</v>
      </c>
      <c r="DW72" t="s">
        <v>196</v>
      </c>
      <c r="DX72" t="s">
        <v>196</v>
      </c>
      <c r="DY72" t="s">
        <v>196</v>
      </c>
      <c r="DZ72" t="s">
        <v>196</v>
      </c>
      <c r="EA72" t="s">
        <v>196</v>
      </c>
      <c r="EB72" t="s">
        <v>196</v>
      </c>
      <c r="EC72" t="s">
        <v>196</v>
      </c>
      <c r="ED72" t="s">
        <v>196</v>
      </c>
      <c r="EE72" t="s">
        <v>196</v>
      </c>
      <c r="EF72" t="s">
        <v>196</v>
      </c>
      <c r="EG72" t="s">
        <v>196</v>
      </c>
      <c r="EH72" t="s">
        <v>196</v>
      </c>
      <c r="EI72" t="s">
        <v>196</v>
      </c>
      <c r="EJ72" t="s">
        <v>196</v>
      </c>
      <c r="EK72" t="s">
        <v>196</v>
      </c>
      <c r="EL72" t="s">
        <v>196</v>
      </c>
      <c r="EM72" t="s">
        <v>196</v>
      </c>
      <c r="EN72" t="s">
        <v>196</v>
      </c>
      <c r="EO72" t="s">
        <v>196</v>
      </c>
      <c r="EP72" t="str">
        <f t="shared" si="2"/>
        <v>Inactive</v>
      </c>
    </row>
    <row r="73" spans="1:146">
      <c r="A73" t="s">
        <v>3</v>
      </c>
      <c r="B73" t="s">
        <v>1029</v>
      </c>
      <c r="C73" t="s">
        <v>16</v>
      </c>
      <c r="D73" t="s">
        <v>638</v>
      </c>
      <c r="E73" t="s">
        <v>7</v>
      </c>
      <c r="F73" t="s">
        <v>196</v>
      </c>
      <c r="G73" t="s">
        <v>196</v>
      </c>
      <c r="H73" t="s">
        <v>196</v>
      </c>
      <c r="I73" t="s">
        <v>196</v>
      </c>
      <c r="J73" t="s">
        <v>196</v>
      </c>
      <c r="K73" t="s">
        <v>196</v>
      </c>
      <c r="L73" t="s">
        <v>196</v>
      </c>
      <c r="M73" t="s">
        <v>196</v>
      </c>
      <c r="N73" t="s">
        <v>196</v>
      </c>
      <c r="O73" t="s">
        <v>196</v>
      </c>
      <c r="P73" t="s">
        <v>196</v>
      </c>
      <c r="Q73" t="s">
        <v>196</v>
      </c>
      <c r="R73" t="s">
        <v>196</v>
      </c>
      <c r="S73" t="s">
        <v>196</v>
      </c>
      <c r="T73" t="s">
        <v>196</v>
      </c>
      <c r="U73" t="s">
        <v>196</v>
      </c>
      <c r="V73" t="s">
        <v>184</v>
      </c>
      <c r="W73">
        <v>95595</v>
      </c>
      <c r="X73" t="s">
        <v>1039</v>
      </c>
      <c r="Y73" t="s">
        <v>1040</v>
      </c>
      <c r="Z73" t="s">
        <v>196</v>
      </c>
      <c r="AA73" t="s">
        <v>16</v>
      </c>
      <c r="AB73" t="s">
        <v>188</v>
      </c>
      <c r="AC73" t="s">
        <v>201</v>
      </c>
      <c r="AD73" t="s">
        <v>1041</v>
      </c>
      <c r="AE73" t="s">
        <v>1583</v>
      </c>
      <c r="AF73" t="s">
        <v>1584</v>
      </c>
      <c r="AG73" t="s">
        <v>1585</v>
      </c>
      <c r="AH73" t="s">
        <v>1045</v>
      </c>
      <c r="AI73">
        <v>20241024</v>
      </c>
      <c r="AJ73">
        <v>20241122</v>
      </c>
      <c r="AK73" t="s">
        <v>196</v>
      </c>
      <c r="AL73">
        <v>20241204</v>
      </c>
      <c r="AM73" t="s">
        <v>1586</v>
      </c>
      <c r="AN73" t="s">
        <v>196</v>
      </c>
      <c r="AO73" t="s">
        <v>196</v>
      </c>
      <c r="AP73" t="s">
        <v>196</v>
      </c>
      <c r="AQ73" t="s">
        <v>196</v>
      </c>
      <c r="AR73" t="s">
        <v>196</v>
      </c>
      <c r="AS73" t="s">
        <v>196</v>
      </c>
      <c r="AT73" t="s">
        <v>196</v>
      </c>
      <c r="AU73" t="s">
        <v>196</v>
      </c>
      <c r="AV73" t="s">
        <v>196</v>
      </c>
      <c r="AW73" t="s">
        <v>196</v>
      </c>
      <c r="AX73" t="s">
        <v>196</v>
      </c>
      <c r="AY73" t="s">
        <v>196</v>
      </c>
      <c r="AZ73" t="s">
        <v>196</v>
      </c>
      <c r="BA73" t="s">
        <v>196</v>
      </c>
      <c r="BB73" t="s">
        <v>196</v>
      </c>
      <c r="BC73" t="s">
        <v>196</v>
      </c>
      <c r="BD73" t="s">
        <v>196</v>
      </c>
      <c r="BE73" s="1" t="s">
        <v>196</v>
      </c>
      <c r="BF73" t="s">
        <v>196</v>
      </c>
      <c r="BG73" t="s">
        <v>196</v>
      </c>
      <c r="BH73" t="s">
        <v>196</v>
      </c>
      <c r="BI73" t="s">
        <v>196</v>
      </c>
      <c r="BJ73" t="s">
        <v>196</v>
      </c>
      <c r="BK73" t="s">
        <v>196</v>
      </c>
      <c r="BL73" t="s">
        <v>196</v>
      </c>
      <c r="BM73" t="s">
        <v>196</v>
      </c>
      <c r="BN73" t="s">
        <v>196</v>
      </c>
      <c r="BO73" t="s">
        <v>196</v>
      </c>
      <c r="BP73" t="s">
        <v>196</v>
      </c>
      <c r="BQ73" t="s">
        <v>196</v>
      </c>
      <c r="BR73" t="s">
        <v>196</v>
      </c>
      <c r="BS73" t="s">
        <v>196</v>
      </c>
      <c r="BT73" t="s">
        <v>196</v>
      </c>
      <c r="BU73" t="s">
        <v>196</v>
      </c>
      <c r="BV73" t="s">
        <v>196</v>
      </c>
      <c r="BW73" t="s">
        <v>196</v>
      </c>
      <c r="BX73" t="s">
        <v>196</v>
      </c>
      <c r="BY73" t="s">
        <v>196</v>
      </c>
      <c r="BZ73" t="s">
        <v>196</v>
      </c>
      <c r="CA73" t="s">
        <v>196</v>
      </c>
      <c r="CB73" t="s">
        <v>196</v>
      </c>
      <c r="CC73" t="s">
        <v>196</v>
      </c>
      <c r="CD73" t="s">
        <v>196</v>
      </c>
      <c r="CE73" t="s">
        <v>196</v>
      </c>
      <c r="CF73" t="s">
        <v>196</v>
      </c>
      <c r="CG73" t="s">
        <v>196</v>
      </c>
      <c r="CH73" t="s">
        <v>196</v>
      </c>
      <c r="CI73" t="s">
        <v>196</v>
      </c>
      <c r="CJ73" t="s">
        <v>196</v>
      </c>
      <c r="CK73" t="s">
        <v>196</v>
      </c>
      <c r="CL73" t="s">
        <v>196</v>
      </c>
      <c r="CM73" t="s">
        <v>196</v>
      </c>
      <c r="CN73" t="s">
        <v>196</v>
      </c>
      <c r="CO73" s="1" t="s">
        <v>196</v>
      </c>
      <c r="CP73" s="1" t="s">
        <v>196</v>
      </c>
      <c r="CQ73" t="s">
        <v>196</v>
      </c>
      <c r="CR73" t="s">
        <v>196</v>
      </c>
      <c r="CS73" t="s">
        <v>196</v>
      </c>
      <c r="CT73" t="s">
        <v>196</v>
      </c>
      <c r="CU73" t="s">
        <v>196</v>
      </c>
      <c r="CV73" t="s">
        <v>196</v>
      </c>
      <c r="CW73" t="s">
        <v>196</v>
      </c>
      <c r="CX73" t="s">
        <v>196</v>
      </c>
      <c r="CY73" t="s">
        <v>196</v>
      </c>
      <c r="CZ73" t="s">
        <v>196</v>
      </c>
      <c r="DA73" t="s">
        <v>196</v>
      </c>
      <c r="DB73" t="s">
        <v>196</v>
      </c>
      <c r="DC73" t="s">
        <v>196</v>
      </c>
      <c r="DD73" t="s">
        <v>196</v>
      </c>
      <c r="DE73" t="s">
        <v>196</v>
      </c>
      <c r="DF73" t="s">
        <v>196</v>
      </c>
      <c r="DG73" t="s">
        <v>196</v>
      </c>
      <c r="DH73" t="s">
        <v>196</v>
      </c>
      <c r="DI73" t="s">
        <v>196</v>
      </c>
      <c r="DJ73" t="s">
        <v>196</v>
      </c>
      <c r="DK73" t="s">
        <v>196</v>
      </c>
      <c r="DL73" t="s">
        <v>196</v>
      </c>
      <c r="DM73" t="s">
        <v>196</v>
      </c>
      <c r="DN73" t="s">
        <v>196</v>
      </c>
      <c r="DO73" t="s">
        <v>196</v>
      </c>
      <c r="DP73" t="s">
        <v>196</v>
      </c>
      <c r="DQ73" t="s">
        <v>196</v>
      </c>
      <c r="DR73" t="s">
        <v>196</v>
      </c>
      <c r="DS73" t="s">
        <v>196</v>
      </c>
      <c r="DT73" t="s">
        <v>196</v>
      </c>
      <c r="DU73" t="s">
        <v>196</v>
      </c>
      <c r="DV73" t="s">
        <v>196</v>
      </c>
      <c r="DW73" t="s">
        <v>196</v>
      </c>
      <c r="DX73" t="s">
        <v>196</v>
      </c>
      <c r="DY73" t="s">
        <v>196</v>
      </c>
      <c r="DZ73" t="s">
        <v>196</v>
      </c>
      <c r="EA73" t="s">
        <v>196</v>
      </c>
      <c r="EB73" t="s">
        <v>196</v>
      </c>
      <c r="EC73" t="s">
        <v>196</v>
      </c>
      <c r="ED73" t="s">
        <v>196</v>
      </c>
      <c r="EE73" t="s">
        <v>196</v>
      </c>
      <c r="EF73" t="s">
        <v>196</v>
      </c>
      <c r="EG73" t="s">
        <v>196</v>
      </c>
      <c r="EH73" t="s">
        <v>196</v>
      </c>
      <c r="EI73" t="s">
        <v>196</v>
      </c>
      <c r="EJ73" t="s">
        <v>196</v>
      </c>
      <c r="EK73" t="s">
        <v>196</v>
      </c>
      <c r="EL73" t="s">
        <v>196</v>
      </c>
      <c r="EM73" t="s">
        <v>196</v>
      </c>
      <c r="EN73" t="s">
        <v>196</v>
      </c>
      <c r="EO73" t="s">
        <v>196</v>
      </c>
      <c r="EP73" t="str">
        <f t="shared" si="2"/>
        <v>Active</v>
      </c>
    </row>
    <row r="74" spans="1:146">
      <c r="A74" t="s">
        <v>4</v>
      </c>
      <c r="B74" t="s">
        <v>1587</v>
      </c>
      <c r="C74" t="s">
        <v>16</v>
      </c>
      <c r="D74" t="s">
        <v>638</v>
      </c>
      <c r="E74" t="s">
        <v>7</v>
      </c>
      <c r="F74" t="s">
        <v>1588</v>
      </c>
      <c r="G74" t="s">
        <v>1589</v>
      </c>
      <c r="H74" t="s">
        <v>1590</v>
      </c>
      <c r="I74" t="s">
        <v>1591</v>
      </c>
      <c r="J74" t="s">
        <v>1592</v>
      </c>
      <c r="K74" t="s">
        <v>212</v>
      </c>
      <c r="L74" t="s">
        <v>246</v>
      </c>
      <c r="M74" t="s">
        <v>1593</v>
      </c>
      <c r="N74" t="s">
        <v>196</v>
      </c>
      <c r="O74" t="s">
        <v>196</v>
      </c>
      <c r="P74" t="s">
        <v>1594</v>
      </c>
      <c r="Q74" t="s">
        <v>1595</v>
      </c>
      <c r="R74" t="s">
        <v>1596</v>
      </c>
      <c r="S74" t="b">
        <v>1</v>
      </c>
      <c r="T74" t="s">
        <v>1597</v>
      </c>
      <c r="U74" t="s">
        <v>196</v>
      </c>
      <c r="V74" t="s">
        <v>184</v>
      </c>
      <c r="W74">
        <v>92341</v>
      </c>
      <c r="X74" t="s">
        <v>1598</v>
      </c>
      <c r="Y74" t="s">
        <v>1599</v>
      </c>
      <c r="Z74" t="s">
        <v>16</v>
      </c>
      <c r="AA74" t="s">
        <v>16</v>
      </c>
      <c r="AB74" t="s">
        <v>188</v>
      </c>
      <c r="AC74" t="s">
        <v>201</v>
      </c>
      <c r="AD74" t="s">
        <v>908</v>
      </c>
      <c r="AE74" t="s">
        <v>1600</v>
      </c>
      <c r="AF74" t="s">
        <v>1601</v>
      </c>
      <c r="AG74" t="s">
        <v>1602</v>
      </c>
      <c r="AH74" t="s">
        <v>1603</v>
      </c>
      <c r="AI74">
        <v>20230515</v>
      </c>
      <c r="AJ74">
        <v>20230518</v>
      </c>
      <c r="AK74">
        <v>20240405</v>
      </c>
      <c r="AL74">
        <v>20230524</v>
      </c>
      <c r="AM74" t="s">
        <v>1604</v>
      </c>
      <c r="AN74" t="s">
        <v>196</v>
      </c>
      <c r="AO74" t="s">
        <v>1605</v>
      </c>
      <c r="AP74" t="s">
        <v>196</v>
      </c>
      <c r="AQ74" t="s">
        <v>196</v>
      </c>
      <c r="AR74" t="s">
        <v>1606</v>
      </c>
      <c r="AS74" t="s">
        <v>1607</v>
      </c>
      <c r="AT74" t="s">
        <v>1608</v>
      </c>
      <c r="AU74" t="s">
        <v>196</v>
      </c>
      <c r="AV74" t="s">
        <v>196</v>
      </c>
      <c r="AW74" t="s">
        <v>196</v>
      </c>
      <c r="AX74" t="s">
        <v>196</v>
      </c>
      <c r="AY74" t="s">
        <v>196</v>
      </c>
      <c r="AZ74" t="s">
        <v>196</v>
      </c>
      <c r="BA74" t="s">
        <v>196</v>
      </c>
      <c r="BB74" t="s">
        <v>196</v>
      </c>
      <c r="BC74" t="s">
        <v>262</v>
      </c>
      <c r="BD74" t="s">
        <v>196</v>
      </c>
      <c r="BE74" s="1" t="s">
        <v>196</v>
      </c>
      <c r="BF74" t="s">
        <v>196</v>
      </c>
      <c r="BG74" t="s">
        <v>196</v>
      </c>
      <c r="BH74" t="s">
        <v>196</v>
      </c>
      <c r="BI74" t="s">
        <v>196</v>
      </c>
      <c r="BJ74" t="s">
        <v>196</v>
      </c>
      <c r="BK74" t="s">
        <v>196</v>
      </c>
      <c r="BL74" t="s">
        <v>196</v>
      </c>
      <c r="BM74" t="s">
        <v>196</v>
      </c>
      <c r="BN74" t="s">
        <v>196</v>
      </c>
      <c r="BO74" t="s">
        <v>196</v>
      </c>
      <c r="BP74" t="s">
        <v>196</v>
      </c>
      <c r="BQ74" t="s">
        <v>196</v>
      </c>
      <c r="BR74" t="s">
        <v>196</v>
      </c>
      <c r="BS74" t="s">
        <v>196</v>
      </c>
      <c r="BT74" t="s">
        <v>196</v>
      </c>
      <c r="BU74" t="s">
        <v>196</v>
      </c>
      <c r="BV74" t="s">
        <v>196</v>
      </c>
      <c r="BW74" t="s">
        <v>196</v>
      </c>
      <c r="BX74" t="s">
        <v>196</v>
      </c>
      <c r="BY74" t="s">
        <v>196</v>
      </c>
      <c r="BZ74" t="s">
        <v>196</v>
      </c>
      <c r="CA74" t="s">
        <v>196</v>
      </c>
      <c r="CB74" t="s">
        <v>196</v>
      </c>
      <c r="CC74" t="s">
        <v>196</v>
      </c>
      <c r="CD74" t="s">
        <v>196</v>
      </c>
      <c r="CE74" t="s">
        <v>196</v>
      </c>
      <c r="CF74" t="s">
        <v>196</v>
      </c>
      <c r="CG74" t="s">
        <v>196</v>
      </c>
      <c r="CH74" t="s">
        <v>196</v>
      </c>
      <c r="CI74" t="s">
        <v>196</v>
      </c>
      <c r="CJ74" t="s">
        <v>196</v>
      </c>
      <c r="CK74" t="s">
        <v>196</v>
      </c>
      <c r="CL74" t="s">
        <v>196</v>
      </c>
      <c r="CM74" t="s">
        <v>196</v>
      </c>
      <c r="CN74" t="s">
        <v>196</v>
      </c>
      <c r="CO74" s="1" t="s">
        <v>196</v>
      </c>
      <c r="CP74" s="1" t="s">
        <v>196</v>
      </c>
      <c r="CQ74" t="s">
        <v>196</v>
      </c>
      <c r="CR74" t="s">
        <v>196</v>
      </c>
      <c r="CS74" t="s">
        <v>196</v>
      </c>
      <c r="CT74" t="s">
        <v>196</v>
      </c>
      <c r="CU74" t="s">
        <v>196</v>
      </c>
      <c r="CV74" t="s">
        <v>196</v>
      </c>
      <c r="CW74" t="s">
        <v>1609</v>
      </c>
      <c r="CX74" t="s">
        <v>196</v>
      </c>
      <c r="CY74" t="s">
        <v>196</v>
      </c>
      <c r="CZ74" t="s">
        <v>196</v>
      </c>
      <c r="DA74" t="s">
        <v>196</v>
      </c>
      <c r="DB74" t="s">
        <v>196</v>
      </c>
      <c r="DC74" t="s">
        <v>1610</v>
      </c>
      <c r="DD74" t="s">
        <v>196</v>
      </c>
      <c r="DE74" t="s">
        <v>196</v>
      </c>
      <c r="DF74" t="s">
        <v>196</v>
      </c>
      <c r="DG74" t="s">
        <v>196</v>
      </c>
      <c r="DH74" t="s">
        <v>196</v>
      </c>
      <c r="DI74" t="s">
        <v>196</v>
      </c>
      <c r="DJ74" t="s">
        <v>196</v>
      </c>
      <c r="DK74" t="s">
        <v>196</v>
      </c>
      <c r="DL74" t="s">
        <v>196</v>
      </c>
      <c r="DM74" t="s">
        <v>196</v>
      </c>
      <c r="DN74" t="s">
        <v>196</v>
      </c>
      <c r="DO74" t="s">
        <v>196</v>
      </c>
      <c r="DP74" t="s">
        <v>196</v>
      </c>
      <c r="DQ74" t="s">
        <v>196</v>
      </c>
      <c r="DR74" t="s">
        <v>196</v>
      </c>
      <c r="DS74" t="s">
        <v>196</v>
      </c>
      <c r="DT74" t="s">
        <v>196</v>
      </c>
      <c r="DU74" t="s">
        <v>196</v>
      </c>
      <c r="DV74" t="s">
        <v>196</v>
      </c>
      <c r="DW74" t="s">
        <v>196</v>
      </c>
      <c r="DX74" t="s">
        <v>196</v>
      </c>
      <c r="DY74" t="s">
        <v>196</v>
      </c>
      <c r="DZ74" t="s">
        <v>196</v>
      </c>
      <c r="EA74" t="s">
        <v>196</v>
      </c>
      <c r="EB74" t="s">
        <v>196</v>
      </c>
      <c r="EC74" t="s">
        <v>196</v>
      </c>
      <c r="ED74" t="s">
        <v>196</v>
      </c>
      <c r="EE74" t="s">
        <v>196</v>
      </c>
      <c r="EF74" t="s">
        <v>196</v>
      </c>
      <c r="EG74" t="s">
        <v>196</v>
      </c>
      <c r="EH74" t="s">
        <v>196</v>
      </c>
      <c r="EI74" t="s">
        <v>196</v>
      </c>
      <c r="EJ74" t="s">
        <v>196</v>
      </c>
      <c r="EK74" t="s">
        <v>196</v>
      </c>
      <c r="EL74" t="s">
        <v>196</v>
      </c>
      <c r="EM74" t="s">
        <v>196</v>
      </c>
      <c r="EN74" t="s">
        <v>196</v>
      </c>
      <c r="EO74" t="s">
        <v>196</v>
      </c>
      <c r="EP74" t="str">
        <f t="shared" si="2"/>
        <v>Inactive</v>
      </c>
    </row>
  </sheetData>
  <conditionalFormatting sqref="A1:A1048576">
    <cfRule type="containsText" dxfId="9" priority="1" operator="containsText" text="Ongoing">
      <formula>NOT(ISERROR(SEARCH("Ongoing",A1)))</formula>
    </cfRule>
    <cfRule type="containsText" dxfId="8" priority="2" operator="containsText" text="Terminated">
      <formula>NOT(ISERROR(SEARCH("Terminated",A1)))</formula>
    </cfRule>
  </conditionalFormatting>
  <dataValidations count="1">
    <dataValidation type="list" allowBlank="1" showInputMessage="1" showErrorMessage="1" sqref="A1:A1048576" xr:uid="{C99DAEED-5B97-40A7-ADD5-994A02A6F061}">
      <formula1>$A:$A</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7A7A6DE-EAF2-4652-94C4-5B81B710B48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2024-12-26T15:55:27Z</dcterms:created>
  <dcterms:modified xsi:type="dcterms:W3CDTF">2024-12-31T16:40:53Z</dcterms:modified>
  <cp:category/>
  <cp:contentStatus/>
</cp:coreProperties>
</file>